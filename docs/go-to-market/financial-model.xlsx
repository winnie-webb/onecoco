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onservative" sheetId="2" state="visible" r:id="rId4"/>
    <sheet name="Base" sheetId="3" state="visible" r:id="rId5"/>
    <sheet name="Aggressive" sheetId="4" state="visible" r:id="rId6"/>
    <sheet name="BreakEv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<sst xmlns="http://schemas.openxmlformats.org/spreadsheetml/2006/main" count="322" uniqueCount="150">
  <si>
    <t xml:space="preserve">OneCoco financial model - assumptions (blue = editable input). All USD unless stated. Modeled estimates, NOT verified facts.</t>
  </si>
  <si>
    <t xml:space="preserve">FX rate JMD per USD</t>
  </si>
  <si>
    <t xml:space="preserve">Aggregator rate 26 Sep 2026 (exchange-rates.org). Re-check BOJ rate at use.</t>
  </si>
  <si>
    <t xml:space="preserve">Coconuts per order</t>
  </si>
  <si>
    <t xml:space="preserve">Assumed mix: 70% Classic(1), 15% Coco-for-Two(2), 15% other</t>
  </si>
  <si>
    <t xml:space="preserve">Supplies per order $ (straw, napkin, ice, cup)</t>
  </si>
  <si>
    <t xml:space="preserve">ASSUMPTION - validate</t>
  </si>
  <si>
    <t xml:space="preserve">Card/online payment share of orders</t>
  </si>
  <si>
    <t xml:space="preserve">ASSUMPTION - validate in pilot</t>
  </si>
  <si>
    <t xml:space="preserve">Card fee % of charge</t>
  </si>
  <si>
    <t xml:space="preserve">ASSUMPTION ~PayPal cross-border commercial rate; verify actual contract</t>
  </si>
  <si>
    <t xml:space="preserve">Card fixed fee $ per txn</t>
  </si>
  <si>
    <t xml:space="preserve">ASSUMPTION; verify</t>
  </si>
  <si>
    <t xml:space="preserve">Cash shrinkage % of cash revenue</t>
  </si>
  <si>
    <t xml:space="preserve">ASSUMPTION</t>
  </si>
  <si>
    <t xml:space="preserve">Orders one runner can serve per 8h shift</t>
  </si>
  <si>
    <t xml:space="preserve">ASSUMPTION ~2.5/h; validate</t>
  </si>
  <si>
    <t xml:space="preserve">Runner per-delivery pay $ (on top of guaranteed shift pay)</t>
  </si>
  <si>
    <t xml:space="preserve">ASSUMPTION ~J$160; legal classification must be confirmed</t>
  </si>
  <si>
    <t xml:space="preserve">Ops coordinator $/month (per 3 beaches, from M2)</t>
  </si>
  <si>
    <t xml:space="preserve">ASSUMPTION ~J$100k/mo loaded</t>
  </si>
  <si>
    <t xml:space="preserve">Tech/SaaS $/month</t>
  </si>
  <si>
    <t xml:space="preserve">Vercel, Supabase, Resend, monitoring, domain - verify plan prices</t>
  </si>
  <si>
    <t xml:space="preserve">Bookkeeping/accounting $/month</t>
  </si>
  <si>
    <t xml:space="preserve">Insurance $/month (public+product liability)</t>
  </si>
  <si>
    <t xml:space="preserve">ASSUMPTION - get quotes</t>
  </si>
  <si>
    <t xml:space="preserve">Phone/data $/month per beach</t>
  </si>
  <si>
    <t xml:space="preserve">Beach setup capex $ per new beach</t>
  </si>
  <si>
    <t xml:space="preserve">Cart/cooler 600, tools 200, uniforms/signage 150, phone 180, stock 200, cash float 150, training 100, QR collateral 120</t>
  </si>
  <si>
    <t xml:space="preserve">Contingency on pre-launch one-time</t>
  </si>
  <si>
    <t xml:space="preserve">Days per month</t>
  </si>
  <si>
    <t xml:space="preserve">Pre-launch one-time costs (USD)</t>
  </si>
  <si>
    <t xml:space="preserve">USD</t>
  </si>
  <si>
    <t xml:space="preserve">Status / source</t>
  </si>
  <si>
    <t xml:space="preserve">Incorporation + name reservation (COJ ~J$28k)</t>
  </si>
  <si>
    <t xml:space="preserve">Mandatory-ish; fees from 3rd-party/handouts, verify at orcjamaica.com</t>
  </si>
  <si>
    <t xml:space="preserve">Accountant setup: TRN, payroll registrations, books</t>
  </si>
  <si>
    <t xml:space="preserve">Mandatory; quote needed</t>
  </si>
  <si>
    <t xml:space="preserve">Jamaican attorney: T&amp;Cs, privacy, refund policy, staff &amp; partner contracts, beach-access review</t>
  </si>
  <si>
    <t xml:space="preserve">OIC data-controller registration</t>
  </si>
  <si>
    <t xml:space="preserve">Mandatory; fee unverified</t>
  </si>
  <si>
    <t xml:space="preserve">Trademark + domain (after name decision)</t>
  </si>
  <si>
    <t xml:space="preserve">Recommended; JIPO fees unverified</t>
  </si>
  <si>
    <t xml:space="preserve">Insurance deposit / first premium</t>
  </si>
  <si>
    <t xml:space="preserve">Food handler permits + medicals (5 people)</t>
  </si>
  <si>
    <t xml:space="preserve">Mandatory; fee from 2011 source</t>
  </si>
  <si>
    <t xml:space="preserve">Beach access / vending permissions &amp; fees</t>
  </si>
  <si>
    <t xml:space="preserve">UNKNOWN - placeholder; could be higher</t>
  </si>
  <si>
    <t xml:space="preserve">Tech hardening: Next.js upgrade, live payments, E2E tests, monitoring, backups</t>
  </si>
  <si>
    <t xml:space="preserve">Contractor est. ~100h; see tech audit</t>
  </si>
  <si>
    <t xml:space="preserve">Content: photography/video, signage design</t>
  </si>
  <si>
    <t xml:space="preserve">Optional but strongly advised</t>
  </si>
  <si>
    <t xml:space="preserve">Pre-launch marketing (landing, partner outreach)</t>
  </si>
  <si>
    <t xml:space="preserve">Optional</t>
  </si>
  <si>
    <t xml:space="preserve">Total pre-launch one-time (before contingency)</t>
  </si>
  <si>
    <t xml:space="preserve">Total with contingency</t>
  </si>
  <si>
    <t xml:space="preserve">Seasonality factor by launch month (ASSUMPTION - no verified Jamaica beach-demand series)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</si>
  <si>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</si>
  <si>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</si>
  <si>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</si>
  <si>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</si>
  <si>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</si>
  <si>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</si>
  <si>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</si>
  <si>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</si>
  <si>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</si>
  <si>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</si>
  <si>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</si>
  <si>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</si>
  <si>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Conservative scenario - monthly model (USD). Launch month M1 = Dec 2026</t>
  </si>
  <si>
    <t xml:space="preserve">Mature orders/day per beach</t>
  </si>
  <si>
    <t xml:space="preserve">Ramp months to maturity</t>
  </si>
  <si>
    <t xml:space="preserve">Avg product revenue per order $ (pre-promo)</t>
  </si>
  <si>
    <t xml:space="preserve">Promo discount % of product rev</t>
  </si>
  <si>
    <t xml:space="preserve">Coconut cost per nut $</t>
  </si>
  <si>
    <t xml:space="preserve">Support/refund loss % revenue</t>
  </si>
  <si>
    <t xml:space="preserve">Runner guaranteed shift pay per position-day $ (loaded)</t>
  </si>
  <si>
    <t xml:space="preserve">Marketing $/month</t>
  </si>
  <si>
    <t xml:space="preserve">Delivery fee $ per order</t>
  </si>
  <si>
    <t xml:space="preserve">Line</t>
  </si>
  <si>
    <t xml:space="preserve">M0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</si>
  <si>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</si>
  <si>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</si>
  <si>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</si>
  <si>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</si>
  <si>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</si>
  <si>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</si>
  <si>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</si>
  <si>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</si>
  <si>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</si>
  <si>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</si>
  <si>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</si>
  <si>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</si>
  <si>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12-mo total</t>
  </si>
  <si>
    <t xml:space="preserve">Month index</t>
  </si>
  <si>
    <t xml:space="preserve">Calendar month</t>
  </si>
  <si>
    <t xml:space="preserve">Season factor</t>
  </si>
  <si>
    <t xml:space="preserve">New beaches opened (input plan)</t>
  </si>
  <si>
    <t xml:space="preserve">Active beaches</t>
  </si>
  <si>
    <t xml:space="preserve">Beach-equivalents (ramped)</t>
  </si>
  <si>
    <t xml:space="preserve">Orders/day (all beaches)</t>
  </si>
  <si>
    <t xml:space="preserve">Orders/month</t>
  </si>
  <si>
    <t xml:space="preserve">Product revenue (net of promo)</t>
  </si>
  <si>
    <t xml:space="preserve">Delivery fee revenue</t>
  </si>
  <si>
    <t xml:space="preserve">TOTAL REVENUE</t>
  </si>
  <si>
    <t xml:space="preserve">Coconut cost</t>
  </si>
  <si>
    <t xml:space="preserve">Supplies</t>
  </si>
  <si>
    <t xml:space="preserve">Payment fees</t>
  </si>
  <si>
    <t xml:space="preserve">Cash shrinkage</t>
  </si>
  <si>
    <t xml:space="preserve">Support/refund losses</t>
  </si>
  <si>
    <t xml:space="preserve">Total variable cost (excl. labour)</t>
  </si>
  <si>
    <t xml:space="preserve">Contribution before labour</t>
  </si>
  <si>
    <t xml:space="preserve">Runner positions per beach</t>
  </si>
  <si>
    <t xml:space="preserve">Runner labour (guaranteed + per-delivery)</t>
  </si>
  <si>
    <t xml:space="preserve">Contribution after labour</t>
  </si>
  <si>
    <t xml:space="preserve">Tech/SaaS</t>
  </si>
  <si>
    <t xml:space="preserve">Accounting + insurance</t>
  </si>
  <si>
    <t xml:space="preserve">Phones/data</t>
  </si>
  <si>
    <t xml:space="preserve">Ops coordinators</t>
  </si>
  <si>
    <t xml:space="preserve">Marketing</t>
  </si>
  <si>
    <t xml:space="preserve">Total fixed + marketing</t>
  </si>
  <si>
    <t xml:space="preserve">OPERATING PROFIT/(LOSS)</t>
  </si>
  <si>
    <t xml:space="preserve">Pre-launch one-time (incl. contingency)</t>
  </si>
  <si>
    <t xml:space="preserve">Beach setup capex</t>
  </si>
  <si>
    <t xml:space="preserve">NET CASH FLOW</t>
  </si>
  <si>
    <t xml:space="preserve">CUMULATIVE CASH</t>
  </si>
  <si>
    <t xml:space="preserve">Margin after labour % of revenue</t>
  </si>
  <si>
    <t xml:space="preserve">Revenue JMD</t>
  </si>
  <si>
    <t xml:space="preserve">Operating profit JMD</t>
  </si>
  <si>
    <t xml:space="preserve">Peak funding need $ (max cumulative deficit)</t>
  </si>
  <si>
    <t xml:space="preserve">Peak funding need JMD</t>
  </si>
  <si>
    <t xml:space="preserve">First month with positive operating profit</t>
  </si>
  <si>
    <t xml:space="preserve">Month-12 run-rate operating profit $/month</t>
  </si>
  <si>
    <t xml:space="preserve">Contribution per order after labour, month 12 $</t>
  </si>
  <si>
    <t xml:space="preserve">Base scenario - monthly model (USD). Launch month M1 = Dec 2026</t>
  </si>
  <si>
    <t xml:space="preserve">Aggressive scenario - monthly model (USD). Launch month M1 = Dec 2026</t>
  </si>
  <si>
    <t xml:space="preserve">Unit economics and break-even (Base scenario parameters) - USD</t>
  </si>
  <si>
    <t xml:space="preserve">Revenue per order (net product + delivery)</t>
  </si>
  <si>
    <t xml:space="preserve">Coconut cost per order</t>
  </si>
  <si>
    <t xml:space="preserve">Per-delivery runner pay</t>
  </si>
  <si>
    <t xml:space="preserve">CONTRIBUTION PER ORDER</t>
  </si>
  <si>
    <t xml:space="preserve">Contribution margin %</t>
  </si>
  <si>
    <t xml:space="preserve">Fixed cost per beach per month (guaranteed shift + phone + coordinator share)</t>
  </si>
  <si>
    <t xml:space="preserve">Central fixed per month (tech, accounting, insurance, marketing)</t>
  </si>
  <si>
    <t xml:space="preserve">Setup capex amortised over 12 months per beach</t>
  </si>
  <si>
    <t xml:space="preserve">Break-even orders/day for ONE beach, beach-level costs only</t>
  </si>
  <si>
    <t xml:space="preserve">Break-even orders/day for ONE beach incl. central costs + setup</t>
  </si>
  <si>
    <t xml:space="preserve">Break-even orders/day per beach when central costs spread over 4 beaches</t>
  </si>
  <si>
    <t xml:space="preserve">Contribution per order if mature (16/day) incl. guaranteed shift pay</t>
  </si>
  <si>
    <t xml:space="preserve">Revenue per order JMD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</si>
</sst>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158</v>
      </c>
      <c r="C3" s="3" t="s">
        <v>2</v>
      </c>
    </row>
    <row r="4" customFormat="false" ht="15" hidden="false" customHeight="false" outlineLevel="0" collapsed="false">
      <c r="A4" s="0" t="s">
        <v>3</v>
      </c>
      <c r="B4" s="2" t="n">
        <v>1.2</v>
      </c>
      <c r="C4" s="3" t="s">
        <v>4</v>
      </c>
    </row>
    <row r="5" customFormat="false" ht="15" hidden="false" customHeight="false" outlineLevel="0" collapsed="false">
      <c r="A5" s="0" t="s">
        <v>5</v>
      </c>
      <c r="B5" s="2" t="n">
        <v>0.25</v>
      </c>
      <c r="C5" s="3" t="s">
        <v>6</v>
      </c>
    </row>
    <row r="6" customFormat="false" ht="15" hidden="false" customHeight="false" outlineLevel="0" collapsed="false">
      <c r="A6" s="0" t="s">
        <v>7</v>
      </c>
      <c r="B6" s="2" t="n">
        <v>0.6</v>
      </c>
      <c r="C6" s="3" t="s">
        <v>8</v>
      </c>
    </row>
    <row r="7" customFormat="false" ht="15" hidden="false" customHeight="false" outlineLevel="0" collapsed="false">
      <c r="A7" s="0" t="s">
        <v>9</v>
      </c>
      <c r="B7" s="2" t="n">
        <v>0.06</v>
      </c>
      <c r="C7" s="3" t="s">
        <v>10</v>
      </c>
    </row>
    <row r="8" customFormat="false" ht="15" hidden="false" customHeight="false" outlineLevel="0" collapsed="false">
      <c r="A8" s="0" t="s">
        <v>11</v>
      </c>
      <c r="B8" s="2" t="n">
        <v>0.49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0.015</v>
      </c>
      <c r="C9" s="3" t="s">
        <v>14</v>
      </c>
    </row>
    <row r="10" customFormat="false" ht="15" hidden="false" customHeight="false" outlineLevel="0" collapsed="false">
      <c r="A10" s="0" t="s">
        <v>15</v>
      </c>
      <c r="B10" s="2" t="n">
        <v>20</v>
      </c>
      <c r="C10" s="3" t="s">
        <v>16</v>
      </c>
    </row>
    <row r="11" customFormat="false" ht="15" hidden="false" customHeight="false" outlineLevel="0" collapsed="false">
      <c r="A11" s="0" t="s">
        <v>17</v>
      </c>
      <c r="B11" s="2" t="n">
        <v>1</v>
      </c>
      <c r="C11" s="3" t="s">
        <v>18</v>
      </c>
    </row>
    <row r="12" customFormat="false" ht="15" hidden="false" customHeight="false" outlineLevel="0" collapsed="false">
      <c r="A12" s="0" t="s">
        <v>19</v>
      </c>
      <c r="B12" s="2" t="n">
        <v>650</v>
      </c>
      <c r="C12" s="3" t="s">
        <v>20</v>
      </c>
    </row>
    <row r="13" customFormat="false" ht="15" hidden="false" customHeight="false" outlineLevel="0" collapsed="false">
      <c r="A13" s="0" t="s">
        <v>21</v>
      </c>
      <c r="B13" s="2" t="n">
        <v>130</v>
      </c>
      <c r="C13" s="3" t="s">
        <v>22</v>
      </c>
    </row>
    <row r="14" customFormat="false" ht="15" hidden="false" customHeight="false" outlineLevel="0" collapsed="false">
      <c r="A14" s="0" t="s">
        <v>23</v>
      </c>
      <c r="B14" s="2" t="n">
        <v>120</v>
      </c>
      <c r="C14" s="3" t="s">
        <v>14</v>
      </c>
    </row>
    <row r="15" customFormat="false" ht="15" hidden="false" customHeight="false" outlineLevel="0" collapsed="false">
      <c r="A15" s="0" t="s">
        <v>24</v>
      </c>
      <c r="B15" s="2" t="n">
        <v>60</v>
      </c>
      <c r="C15" s="3" t="s">
        <v>25</v>
      </c>
    </row>
    <row r="16" customFormat="false" ht="15" hidden="false" customHeight="false" outlineLevel="0" collapsed="false">
      <c r="A16" s="0" t="s">
        <v>26</v>
      </c>
      <c r="B16" s="2" t="n">
        <v>25</v>
      </c>
      <c r="C16" s="3" t="s">
        <v>14</v>
      </c>
    </row>
    <row r="17" customFormat="false" ht="15" hidden="false" customHeight="false" outlineLevel="0" collapsed="false">
      <c r="A17" s="0" t="s">
        <v>27</v>
      </c>
      <c r="B17" s="2" t="n">
        <v>1700</v>
      </c>
      <c r="C17" s="3" t="s">
        <v>28</v>
      </c>
    </row>
    <row r="18" customFormat="false" ht="15" hidden="false" customHeight="false" outlineLevel="0" collapsed="false">
      <c r="A18" s="0" t="s">
        <v>29</v>
      </c>
      <c r="B18" s="2" t="n">
        <v>0.15</v>
      </c>
    </row>
    <row r="19" customFormat="false" ht="15" hidden="false" customHeight="false" outlineLevel="0" collapsed="false">
      <c r="A19" s="0" t="s">
        <v>30</v>
      </c>
      <c r="B19" s="2" t="n">
        <v>30</v>
      </c>
    </row>
    <row r="22" customFormat="false" ht="15" hidden="false" customHeight="false" outlineLevel="0" collapsed="false">
      <c r="A22" s="1" t="s">
        <v>31</v>
      </c>
      <c r="B22" s="1" t="s">
        <v>32</v>
      </c>
      <c r="C22" s="1" t="s">
        <v>33</v>
      </c>
    </row>
    <row r="23" customFormat="false" ht="15" hidden="false" customHeight="false" outlineLevel="0" collapsed="false">
      <c r="A23" s="0" t="s">
        <v>34</v>
      </c>
      <c r="B23" s="2" t="n">
        <v>180</v>
      </c>
      <c r="C23" s="3" t="s">
        <v>35</v>
      </c>
    </row>
    <row r="24" customFormat="false" ht="15" hidden="false" customHeight="false" outlineLevel="0" collapsed="false">
      <c r="A24" s="0" t="s">
        <v>36</v>
      </c>
      <c r="B24" s="2" t="n">
        <v>300</v>
      </c>
      <c r="C24" s="3" t="s">
        <v>37</v>
      </c>
    </row>
    <row r="25" customFormat="false" ht="15" hidden="false" customHeight="false" outlineLevel="0" collapsed="false">
      <c r="A25" s="0" t="s">
        <v>38</v>
      </c>
      <c r="B25" s="2" t="n">
        <v>1500</v>
      </c>
      <c r="C25" s="3" t="s">
        <v>37</v>
      </c>
    </row>
    <row r="26" customFormat="false" ht="15" hidden="false" customHeight="false" outlineLevel="0" collapsed="false">
      <c r="A26" s="0" t="s">
        <v>39</v>
      </c>
      <c r="B26" s="2" t="n">
        <v>100</v>
      </c>
      <c r="C26" s="3" t="s">
        <v>40</v>
      </c>
    </row>
    <row r="27" customFormat="false" ht="15" hidden="false" customHeight="false" outlineLevel="0" collapsed="false">
      <c r="A27" s="0" t="s">
        <v>41</v>
      </c>
      <c r="B27" s="2" t="n">
        <v>400</v>
      </c>
      <c r="C27" s="3" t="s">
        <v>42</v>
      </c>
    </row>
    <row r="28" customFormat="false" ht="15" hidden="false" customHeight="false" outlineLevel="0" collapsed="false">
      <c r="A28" s="0" t="s">
        <v>43</v>
      </c>
      <c r="B28" s="2" t="n">
        <v>700</v>
      </c>
      <c r="C28" s="3" t="s">
        <v>37</v>
      </c>
    </row>
    <row r="29" customFormat="false" ht="15" hidden="false" customHeight="false" outlineLevel="0" collapsed="false">
      <c r="A29" s="0" t="s">
        <v>44</v>
      </c>
      <c r="B29" s="2" t="n">
        <v>60</v>
      </c>
      <c r="C29" s="3" t="s">
        <v>45</v>
      </c>
    </row>
    <row r="30" customFormat="false" ht="15" hidden="false" customHeight="false" outlineLevel="0" collapsed="false">
      <c r="A30" s="0" t="s">
        <v>46</v>
      </c>
      <c r="B30" s="2" t="n">
        <v>500</v>
      </c>
      <c r="C30" s="3" t="s">
        <v>47</v>
      </c>
    </row>
    <row r="31" customFormat="false" ht="15" hidden="false" customHeight="false" outlineLevel="0" collapsed="false">
      <c r="A31" s="0" t="s">
        <v>48</v>
      </c>
      <c r="B31" s="2" t="n">
        <v>3500</v>
      </c>
      <c r="C31" s="3" t="s">
        <v>49</v>
      </c>
    </row>
    <row r="32" customFormat="false" ht="15" hidden="false" customHeight="false" outlineLevel="0" collapsed="false">
      <c r="A32" s="0" t="s">
        <v>50</v>
      </c>
      <c r="B32" s="2" t="n">
        <v>800</v>
      </c>
      <c r="C32" s="3" t="s">
        <v>51</v>
      </c>
    </row>
    <row r="33" customFormat="false" ht="15" hidden="false" customHeight="false" outlineLevel="0" collapsed="false">
      <c r="A33" s="0" t="s">
        <v>52</v>
      </c>
      <c r="B33" s="2" t="n">
        <v>500</v>
      </c>
      <c r="C33" s="3" t="s">
        <v>53</v>
      </c>
    </row>
    <row r="34" customFormat="false" ht="15" hidden="false" customHeight="false" outlineLevel="0" collapsed="false">
      <c r="A34" s="1" t="s">
        <v>54</v>
      </c>
      <c r="B34" s="3" t="n">
        <f aca="false">SUM(B23:B33)</f>
        <v>8540</v>
      </c>
    </row>
    <row r="35" customFormat="false" ht="15" hidden="false" customHeight="false" outlineLevel="0" collapsed="false">
      <c r="A35" s="1" t="s">
        <v>55</v>
      </c>
      <c r="B35" s="3" t="n">
        <f aca="false">B34*(1+Assumptions!$B$18)</f>
        <v>9821</v>
      </c>
    </row>
    <row r="37" customFormat="false" ht="15" hidden="false" customHeight="false" outlineLevel="0" collapsed="false">
      <c r="A37" s="1" t="s">
        <v>56</v>
      </c>
    </row>
    <row r="38" customFormat="false" ht="15" hidden="false" customHeight="false" outlineLevel="0" collapsed="false">
      <c r="A38" s="0" t="s">
        <v>57</v>
      </c>
      <c r="B38" s="2" t="n">
        <v>1</v>
      </c>
    </row>
    <row r="39" customFormat="false" ht="15" hidden="false" customHeight="false" outlineLevel="0" collapsed="false">
      <c r="A39" s="0" t="s">
        <v>58</v>
      </c>
      <c r="B39" s="2" t="n">
        <v>1.1</v>
      </c>
    </row>
    <row r="40" customFormat="false" ht="15" hidden="false" customHeight="false" outlineLevel="0" collapsed="false">
      <c r="A40" s="0" t="s">
        <v>59</v>
      </c>
      <c r="B40" s="2" t="n">
        <v>1.1</v>
      </c>
    </row>
    <row r="41" customFormat="false" ht="15" hidden="false" customHeight="false" outlineLevel="0" collapsed="false">
      <c r="A41" s="0" t="s">
        <v>60</v>
      </c>
      <c r="B41" s="2" t="n">
        <v>1.1</v>
      </c>
    </row>
    <row r="42" customFormat="false" ht="15" hidden="false" customHeight="false" outlineLevel="0" collapsed="false">
      <c r="A42" s="0" t="s">
        <v>61</v>
      </c>
      <c r="B42" s="2" t="n">
        <v>0.9</v>
      </c>
    </row>
    <row r="43" customFormat="false" ht="15" hidden="false" customHeight="false" outlineLevel="0" collapsed="false">
      <c r="A43" s="0" t="s">
        <v>62</v>
      </c>
      <c r="B43" s="2" t="n">
        <v>0.7</v>
      </c>
    </row>
    <row r="44" customFormat="false" ht="15" hidden="false" customHeight="false" outlineLevel="0" collapsed="false">
      <c r="A44" s="0" t="s">
        <v>63</v>
      </c>
      <c r="B44" s="2" t="n">
        <v>0.6</v>
      </c>
    </row>
    <row r="45" customFormat="false" ht="15" hidden="false" customHeight="false" outlineLevel="0" collapsed="false">
      <c r="A45" s="0" t="s">
        <v>64</v>
      </c>
      <c r="B45" s="2" t="n">
        <v>0.7</v>
      </c>
    </row>
    <row r="46" customFormat="false" ht="15" hidden="false" customHeight="false" outlineLevel="0" collapsed="false">
      <c r="A46" s="0" t="s">
        <v>65</v>
      </c>
      <c r="B46" s="2" t="n">
        <v>0.7</v>
      </c>
    </row>
    <row r="47" customFormat="false" ht="15" hidden="false" customHeight="false" outlineLevel="0" collapsed="false">
      <c r="A47" s="0" t="s">
        <v>66</v>
      </c>
      <c r="B47" s="2" t="n">
        <v>0.5</v>
      </c>
    </row>
    <row r="48" customFormat="false" ht="15" hidden="false" customHeight="false" outlineLevel="0" collapsed="false">
      <c r="A48" s="0" t="s">
        <v>67</v>
      </c>
      <c r="B48" s="2" t="n">
        <v>0.5</v>
      </c>
    </row>
    <row r="49" customFormat="false" ht="15" hidden="false" customHeight="false" outlineLevel="0" collapsed="false">
      <c r="A49" s="0" t="s">
        <v>68</v>
      </c>
      <c r="B49" s="2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5" min="2" style="0" width="11"/>
  </cols>
  <sheetData>
    <row r="1" customFormat="false" ht="15" hidden="false" customHeight="false" outlineLevel="0" collapsed="false">
      <c r="A1" s="1" t="s">
        <v>69</v>
      </c>
    </row>
    <row r="2" customFormat="false" ht="15" hidden="false" customHeight="false" outlineLevel="0" collapsed="false">
      <c r="A2" s="0" t="s">
        <v>70</v>
      </c>
      <c r="B2" s="2" t="n">
        <v>9</v>
      </c>
    </row>
    <row r="3" customFormat="false" ht="15" hidden="false" customHeight="false" outlineLevel="0" collapsed="false">
      <c r="A3" s="0" t="s">
        <v>71</v>
      </c>
      <c r="B3" s="2" t="n">
        <v>5</v>
      </c>
    </row>
    <row r="4" customFormat="false" ht="15" hidden="false" customHeight="false" outlineLevel="0" collapsed="false">
      <c r="A4" s="0" t="s">
        <v>72</v>
      </c>
      <c r="B4" s="2" t="n">
        <v>7.6</v>
      </c>
    </row>
    <row r="5" customFormat="false" ht="15" hidden="false" customHeight="false" outlineLevel="0" collapsed="false">
      <c r="A5" s="0" t="s">
        <v>73</v>
      </c>
      <c r="B5" s="2" t="n">
        <v>0.08</v>
      </c>
    </row>
    <row r="6" customFormat="false" ht="15" hidden="false" customHeight="false" outlineLevel="0" collapsed="false">
      <c r="A6" s="0" t="s">
        <v>74</v>
      </c>
      <c r="B6" s="2" t="n">
        <v>1.2</v>
      </c>
    </row>
    <row r="7" customFormat="false" ht="15" hidden="false" customHeight="false" outlineLevel="0" collapsed="false">
      <c r="A7" s="0" t="s">
        <v>75</v>
      </c>
      <c r="B7" s="2" t="n">
        <v>0.05</v>
      </c>
    </row>
    <row r="8" customFormat="false" ht="15" hidden="false" customHeight="false" outlineLevel="0" collapsed="false">
      <c r="A8" s="0" t="s">
        <v>76</v>
      </c>
      <c r="B8" s="2" t="n">
        <v>40</v>
      </c>
    </row>
    <row r="9" customFormat="false" ht="15" hidden="false" customHeight="false" outlineLevel="0" collapsed="false">
      <c r="A9" s="0" t="s">
        <v>77</v>
      </c>
      <c r="B9" s="2" t="n">
        <v>500</v>
      </c>
    </row>
    <row r="10" customFormat="false" ht="15" hidden="false" customHeight="false" outlineLevel="0" collapsed="false">
      <c r="A10" s="0" t="s">
        <v>78</v>
      </c>
      <c r="B10" s="2" t="n">
        <v>2</v>
      </c>
    </row>
    <row r="12" customFormat="false" ht="15" hidden="false" customHeight="false" outlineLevel="0" collapsed="false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1" t="s">
        <v>87</v>
      </c>
      <c r="J12" s="1" t="s">
        <v>88</v>
      </c>
      <c r="K12" s="1" t="s">
        <v>89</v>
      </c>
      <c r="L12" s="1" t="s">
        <v>90</v>
      </c>
      <c r="M12" s="1" t="s">
        <v>91</v>
      </c>
      <c r="N12" s="1" t="s">
        <v>92</v>
      </c>
      <c r="O12" s="1" t="s">
        <v>93</v>
      </c>
    </row>
    <row r="13" customFormat="false" ht="15" hidden="false" customHeight="false" outlineLevel="0" collapsed="false">
      <c r="A13" s="0" t="s">
        <v>94</v>
      </c>
      <c r="B13" s="0" t="n">
        <v>0</v>
      </c>
      <c r="C13" s="0" t="n">
        <v>1</v>
      </c>
      <c r="D13" s="0" t="n">
        <v>2</v>
      </c>
      <c r="E13" s="0" t="n">
        <v>3</v>
      </c>
      <c r="F13" s="0" t="n">
        <v>4</v>
      </c>
      <c r="G13" s="0" t="n">
        <v>5</v>
      </c>
      <c r="H13" s="0" t="n">
        <v>6</v>
      </c>
      <c r="I13" s="0" t="n">
        <v>7</v>
      </c>
      <c r="J13" s="0" t="n">
        <v>8</v>
      </c>
      <c r="K13" s="0" t="n">
        <v>9</v>
      </c>
      <c r="L13" s="0" t="n">
        <v>10</v>
      </c>
      <c r="M13" s="0" t="n">
        <v>11</v>
      </c>
      <c r="N13" s="0" t="n">
        <v>12</v>
      </c>
    </row>
    <row r="14" customFormat="false" ht="15" hidden="false" customHeight="false" outlineLevel="0" collapsed="false">
      <c r="A14" s="0" t="s">
        <v>95</v>
      </c>
      <c r="C14" s="0" t="s">
        <v>57</v>
      </c>
      <c r="D14" s="0" t="s">
        <v>58</v>
      </c>
      <c r="E14" s="0" t="s">
        <v>59</v>
      </c>
      <c r="F14" s="0" t="s">
        <v>60</v>
      </c>
      <c r="G14" s="0" t="s">
        <v>61</v>
      </c>
      <c r="H14" s="0" t="s">
        <v>62</v>
      </c>
      <c r="I14" s="0" t="s">
        <v>63</v>
      </c>
      <c r="J14" s="0" t="s">
        <v>64</v>
      </c>
      <c r="K14" s="0" t="s">
        <v>65</v>
      </c>
      <c r="L14" s="0" t="s">
        <v>66</v>
      </c>
      <c r="M14" s="0" t="s">
        <v>67</v>
      </c>
      <c r="N14" s="0" t="s">
        <v>68</v>
      </c>
    </row>
    <row r="15" customFormat="false" ht="15" hidden="false" customHeight="false" outlineLevel="0" collapsed="false">
      <c r="A15" s="0" t="s">
        <v>96</v>
      </c>
      <c r="C15" s="0" t="n">
        <f aca="false">Assumptions!$B$38</f>
        <v>1</v>
      </c>
      <c r="D15" s="0" t="n">
        <f aca="false">Assumptions!$B$39</f>
        <v>1.1</v>
      </c>
      <c r="E15" s="0" t="n">
        <f aca="false">Assumptions!$B$40</f>
        <v>1.1</v>
      </c>
      <c r="F15" s="0" t="n">
        <f aca="false">Assumptions!$B$41</f>
        <v>1.1</v>
      </c>
      <c r="G15" s="0" t="n">
        <f aca="false">Assumptions!$B$42</f>
        <v>0.9</v>
      </c>
      <c r="H15" s="0" t="n">
        <f aca="false">Assumptions!$B$43</f>
        <v>0.7</v>
      </c>
      <c r="I15" s="0" t="n">
        <f aca="false">Assumptions!$B$44</f>
        <v>0.6</v>
      </c>
      <c r="J15" s="0" t="n">
        <f aca="false">Assumptions!$B$45</f>
        <v>0.7</v>
      </c>
      <c r="K15" s="0" t="n">
        <f aca="false">Assumptions!$B$46</f>
        <v>0.7</v>
      </c>
      <c r="L15" s="0" t="n">
        <f aca="false">Assumptions!$B$47</f>
        <v>0.5</v>
      </c>
      <c r="M15" s="0" t="n">
        <f aca="false">Assumptions!$B$48</f>
        <v>0.5</v>
      </c>
      <c r="N15" s="0" t="n">
        <f aca="false">Assumptions!$B$49</f>
        <v>0.7</v>
      </c>
    </row>
    <row r="16" customFormat="false" ht="15" hidden="false" customHeight="false" outlineLevel="0" collapsed="false">
      <c r="A16" s="0" t="s">
        <v>97</v>
      </c>
      <c r="C16" s="2" t="n">
        <v>1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n">
        <v>0</v>
      </c>
      <c r="M16" s="2" t="n">
        <v>0</v>
      </c>
      <c r="N16" s="2" t="n">
        <v>0</v>
      </c>
    </row>
    <row r="17" customFormat="false" ht="15" hidden="false" customHeight="false" outlineLevel="0" collapsed="false">
      <c r="A17" s="0" t="s">
        <v>98</v>
      </c>
      <c r="B17" s="0" t="n">
        <v>0</v>
      </c>
      <c r="C17" s="0" t="n">
        <f aca="false">B17+C16</f>
        <v>1</v>
      </c>
      <c r="D17" s="0" t="n">
        <f aca="false">C17+D16</f>
        <v>1</v>
      </c>
      <c r="E17" s="0" t="n">
        <f aca="false">D17+E16</f>
        <v>1</v>
      </c>
      <c r="F17" s="0" t="n">
        <f aca="false">E17+F16</f>
        <v>1</v>
      </c>
      <c r="G17" s="0" t="n">
        <f aca="false">F17+G16</f>
        <v>1</v>
      </c>
      <c r="H17" s="0" t="n">
        <f aca="false">G17+H16</f>
        <v>1</v>
      </c>
      <c r="I17" s="0" t="n">
        <f aca="false">H17+I16</f>
        <v>1</v>
      </c>
      <c r="J17" s="0" t="n">
        <f aca="false">I17+J16</f>
        <v>2</v>
      </c>
      <c r="K17" s="0" t="n">
        <f aca="false">J17+K16</f>
        <v>2</v>
      </c>
      <c r="L17" s="0" t="n">
        <f aca="false">K17+L16</f>
        <v>2</v>
      </c>
      <c r="M17" s="0" t="n">
        <f aca="false">L17+M16</f>
        <v>2</v>
      </c>
      <c r="N17" s="0" t="n">
        <f aca="false">M17+N16</f>
        <v>2</v>
      </c>
    </row>
    <row r="18" customFormat="false" ht="15" hidden="false" customHeight="false" outlineLevel="0" collapsed="false">
      <c r="A18" s="0" t="s">
        <v>99</v>
      </c>
      <c r="C18" s="0" t="n">
        <f aca="false">SUMPRODUCT($C$16:C16,(C$13-$C$13:C$13+1+$B$3-ABS(C$13-$C$13:C$13+1-$B$3))/(2*$B$3))</f>
        <v>0.2</v>
      </c>
      <c r="D18" s="0" t="n">
        <f aca="false">SUMPRODUCT($C$16:D16,(D$13-$C$13:D$13+1+$B$3-ABS(D$13-$C$13:D$13+1-$B$3))/(2*$B$3))</f>
        <v>0.4</v>
      </c>
      <c r="E18" s="0" t="n">
        <f aca="false">SUMPRODUCT($C$16:E16,(E$13-$C$13:E$13+1+$B$3-ABS(E$13-$C$13:E$13+1-$B$3))/(2*$B$3))</f>
        <v>0.6</v>
      </c>
      <c r="F18" s="0" t="n">
        <f aca="false">SUMPRODUCT($C$16:F16,(F$13-$C$13:F$13+1+$B$3-ABS(F$13-$C$13:F$13+1-$B$3))/(2*$B$3))</f>
        <v>0.8</v>
      </c>
      <c r="G18" s="0" t="n">
        <f aca="false">SUMPRODUCT($C$16:G16,(G$13-$C$13:G$13+1+$B$3-ABS(G$13-$C$13:G$13+1-$B$3))/(2*$B$3))</f>
        <v>1</v>
      </c>
      <c r="H18" s="0" t="n">
        <f aca="false">SUMPRODUCT($C$16:H16,(H$13-$C$13:H$13+1+$B$3-ABS(H$13-$C$13:H$13+1-$B$3))/(2*$B$3))</f>
        <v>1</v>
      </c>
      <c r="I18" s="0" t="n">
        <f aca="false">SUMPRODUCT($C$16:I16,(I$13-$C$13:I$13+1+$B$3-ABS(I$13-$C$13:I$13+1-$B$3))/(2*$B$3))</f>
        <v>1</v>
      </c>
      <c r="J18" s="0" t="n">
        <f aca="false">SUMPRODUCT($C$16:J16,(J$13-$C$13:J$13+1+$B$3-ABS(J$13-$C$13:J$13+1-$B$3))/(2*$B$3))</f>
        <v>1.2</v>
      </c>
      <c r="K18" s="0" t="n">
        <f aca="false">SUMPRODUCT($C$16:K16,(K$13-$C$13:K$13+1+$B$3-ABS(K$13-$C$13:K$13+1-$B$3))/(2*$B$3))</f>
        <v>1.4</v>
      </c>
      <c r="L18" s="0" t="n">
        <f aca="false">SUMPRODUCT($C$16:L16,(L$13-$C$13:L$13+1+$B$3-ABS(L$13-$C$13:L$13+1-$B$3))/(2*$B$3))</f>
        <v>1.6</v>
      </c>
      <c r="M18" s="0" t="n">
        <f aca="false">SUMPRODUCT($C$16:M16,(M$13-$C$13:M$13+1+$B$3-ABS(M$13-$C$13:M$13+1-$B$3))/(2*$B$3))</f>
        <v>1.8</v>
      </c>
      <c r="N18" s="0" t="n">
        <f aca="false">SUMPRODUCT($C$16:N16,(N$13-$C$13:N$13+1+$B$3-ABS(N$13-$C$13:N$13+1-$B$3))/(2*$B$3))</f>
        <v>2</v>
      </c>
    </row>
    <row r="19" customFormat="false" ht="15" hidden="false" customHeight="false" outlineLevel="0" collapsed="false">
      <c r="A19" s="0" t="s">
        <v>100</v>
      </c>
      <c r="C19" s="0" t="n">
        <f aca="false">C18*$B$2*C15</f>
        <v>1.8</v>
      </c>
      <c r="D19" s="0" t="n">
        <f aca="false">D18*$B$2*D15</f>
        <v>3.96</v>
      </c>
      <c r="E19" s="0" t="n">
        <f aca="false">E18*$B$2*E15</f>
        <v>5.94</v>
      </c>
      <c r="F19" s="0" t="n">
        <f aca="false">F18*$B$2*F15</f>
        <v>7.92</v>
      </c>
      <c r="G19" s="0" t="n">
        <f aca="false">G18*$B$2*G15</f>
        <v>8.1</v>
      </c>
      <c r="H19" s="0" t="n">
        <f aca="false">H18*$B$2*H15</f>
        <v>6.3</v>
      </c>
      <c r="I19" s="0" t="n">
        <f aca="false">I18*$B$2*I15</f>
        <v>5.4</v>
      </c>
      <c r="J19" s="0" t="n">
        <f aca="false">J18*$B$2*J15</f>
        <v>7.56</v>
      </c>
      <c r="K19" s="0" t="n">
        <f aca="false">K18*$B$2*K15</f>
        <v>8.82</v>
      </c>
      <c r="L19" s="0" t="n">
        <f aca="false">L18*$B$2*L15</f>
        <v>7.2</v>
      </c>
      <c r="M19" s="0" t="n">
        <f aca="false">M18*$B$2*M15</f>
        <v>8.1</v>
      </c>
      <c r="N19" s="0" t="n">
        <f aca="false">N18*$B$2*N15</f>
        <v>12.6</v>
      </c>
    </row>
    <row r="20" customFormat="false" ht="15" hidden="false" customHeight="false" outlineLevel="0" collapsed="false">
      <c r="A20" s="0" t="s">
        <v>101</v>
      </c>
      <c r="C20" s="0" t="n">
        <f aca="false">C19*Assumptions!$B$19</f>
        <v>54</v>
      </c>
      <c r="D20" s="0" t="n">
        <f aca="false">D19*Assumptions!$B$19</f>
        <v>118.8</v>
      </c>
      <c r="E20" s="0" t="n">
        <f aca="false">E19*Assumptions!$B$19</f>
        <v>178.2</v>
      </c>
      <c r="F20" s="0" t="n">
        <f aca="false">F19*Assumptions!$B$19</f>
        <v>237.6</v>
      </c>
      <c r="G20" s="0" t="n">
        <f aca="false">G19*Assumptions!$B$19</f>
        <v>243</v>
      </c>
      <c r="H20" s="0" t="n">
        <f aca="false">H19*Assumptions!$B$19</f>
        <v>189</v>
      </c>
      <c r="I20" s="0" t="n">
        <f aca="false">I19*Assumptions!$B$19</f>
        <v>162</v>
      </c>
      <c r="J20" s="0" t="n">
        <f aca="false">J19*Assumptions!$B$19</f>
        <v>226.8</v>
      </c>
      <c r="K20" s="0" t="n">
        <f aca="false">K19*Assumptions!$B$19</f>
        <v>264.6</v>
      </c>
      <c r="L20" s="0" t="n">
        <f aca="false">L19*Assumptions!$B$19</f>
        <v>216</v>
      </c>
      <c r="M20" s="0" t="n">
        <f aca="false">M19*Assumptions!$B$19</f>
        <v>243</v>
      </c>
      <c r="N20" s="0" t="n">
        <f aca="false">N19*Assumptions!$B$19</f>
        <v>378</v>
      </c>
      <c r="O20" s="0" t="n">
        <f aca="false">SUM(B20:N20)</f>
        <v>2511</v>
      </c>
    </row>
    <row r="21" customFormat="false" ht="15" hidden="false" customHeight="false" outlineLevel="0" collapsed="false">
      <c r="A21" s="0" t="s">
        <v>102</v>
      </c>
      <c r="C21" s="0" t="n">
        <f aca="false">C20*$B$4*(1-$B$5)</f>
        <v>377.568</v>
      </c>
      <c r="D21" s="0" t="n">
        <f aca="false">D20*$B$4*(1-$B$5)</f>
        <v>830.6496</v>
      </c>
      <c r="E21" s="0" t="n">
        <f aca="false">E20*$B$4*(1-$B$5)</f>
        <v>1245.9744</v>
      </c>
      <c r="F21" s="0" t="n">
        <f aca="false">F20*$B$4*(1-$B$5)</f>
        <v>1661.2992</v>
      </c>
      <c r="G21" s="0" t="n">
        <f aca="false">G20*$B$4*(1-$B$5)</f>
        <v>1699.056</v>
      </c>
      <c r="H21" s="0" t="n">
        <f aca="false">H20*$B$4*(1-$B$5)</f>
        <v>1321.488</v>
      </c>
      <c r="I21" s="0" t="n">
        <f aca="false">I20*$B$4*(1-$B$5)</f>
        <v>1132.704</v>
      </c>
      <c r="J21" s="0" t="n">
        <f aca="false">J20*$B$4*(1-$B$5)</f>
        <v>1585.7856</v>
      </c>
      <c r="K21" s="0" t="n">
        <f aca="false">K20*$B$4*(1-$B$5)</f>
        <v>1850.0832</v>
      </c>
      <c r="L21" s="0" t="n">
        <f aca="false">L20*$B$4*(1-$B$5)</f>
        <v>1510.272</v>
      </c>
      <c r="M21" s="0" t="n">
        <f aca="false">M20*$B$4*(1-$B$5)</f>
        <v>1699.056</v>
      </c>
      <c r="N21" s="0" t="n">
        <f aca="false">N20*$B$4*(1-$B$5)</f>
        <v>2642.976</v>
      </c>
      <c r="O21" s="0" t="n">
        <f aca="false">SUM(B21:N21)</f>
        <v>17556.912</v>
      </c>
    </row>
    <row r="22" customFormat="false" ht="15" hidden="false" customHeight="false" outlineLevel="0" collapsed="false">
      <c r="A22" s="0" t="s">
        <v>103</v>
      </c>
      <c r="C22" s="0" t="n">
        <f aca="false">C20*$B$10</f>
        <v>108</v>
      </c>
      <c r="D22" s="0" t="n">
        <f aca="false">D20*$B$10</f>
        <v>237.6</v>
      </c>
      <c r="E22" s="0" t="n">
        <f aca="false">E20*$B$10</f>
        <v>356.4</v>
      </c>
      <c r="F22" s="0" t="n">
        <f aca="false">F20*$B$10</f>
        <v>475.2</v>
      </c>
      <c r="G22" s="0" t="n">
        <f aca="false">G20*$B$10</f>
        <v>486</v>
      </c>
      <c r="H22" s="0" t="n">
        <f aca="false">H20*$B$10</f>
        <v>378</v>
      </c>
      <c r="I22" s="0" t="n">
        <f aca="false">I20*$B$10</f>
        <v>324</v>
      </c>
      <c r="J22" s="0" t="n">
        <f aca="false">J20*$B$10</f>
        <v>453.6</v>
      </c>
      <c r="K22" s="0" t="n">
        <f aca="false">K20*$B$10</f>
        <v>529.2</v>
      </c>
      <c r="L22" s="0" t="n">
        <f aca="false">L20*$B$10</f>
        <v>432</v>
      </c>
      <c r="M22" s="0" t="n">
        <f aca="false">M20*$B$10</f>
        <v>486</v>
      </c>
      <c r="N22" s="0" t="n">
        <f aca="false">N20*$B$10</f>
        <v>756</v>
      </c>
      <c r="O22" s="0" t="n">
        <f aca="false">SUM(B22:N22)</f>
        <v>5022</v>
      </c>
    </row>
    <row r="23" customFormat="false" ht="15" hidden="false" customHeight="false" outlineLevel="0" collapsed="false">
      <c r="A23" s="1" t="s">
        <v>104</v>
      </c>
      <c r="C23" s="3" t="n">
        <f aca="false">C21+C22</f>
        <v>485.568</v>
      </c>
      <c r="D23" s="3" t="n">
        <f aca="false">D21+D22</f>
        <v>1068.2496</v>
      </c>
      <c r="E23" s="3" t="n">
        <f aca="false">E21+E22</f>
        <v>1602.3744</v>
      </c>
      <c r="F23" s="3" t="n">
        <f aca="false">F21+F22</f>
        <v>2136.4992</v>
      </c>
      <c r="G23" s="3" t="n">
        <f aca="false">G21+G22</f>
        <v>2185.056</v>
      </c>
      <c r="H23" s="3" t="n">
        <f aca="false">H21+H22</f>
        <v>1699.488</v>
      </c>
      <c r="I23" s="3" t="n">
        <f aca="false">I21+I22</f>
        <v>1456.704</v>
      </c>
      <c r="J23" s="3" t="n">
        <f aca="false">J21+J22</f>
        <v>2039.3856</v>
      </c>
      <c r="K23" s="3" t="n">
        <f aca="false">K21+K22</f>
        <v>2379.2832</v>
      </c>
      <c r="L23" s="3" t="n">
        <f aca="false">L21+L22</f>
        <v>1942.272</v>
      </c>
      <c r="M23" s="3" t="n">
        <f aca="false">M21+M22</f>
        <v>2185.056</v>
      </c>
      <c r="N23" s="3" t="n">
        <f aca="false">N21+N22</f>
        <v>3398.976</v>
      </c>
      <c r="O23" s="3" t="n">
        <f aca="false">SUM(B23:N23)</f>
        <v>22578.912</v>
      </c>
    </row>
    <row r="24" customFormat="false" ht="15" hidden="false" customHeight="false" outlineLevel="0" collapsed="false">
      <c r="A24" s="0" t="s">
        <v>105</v>
      </c>
      <c r="C24" s="0" t="n">
        <f aca="false">C20*Assumptions!$B$4*$B$6</f>
        <v>77.76</v>
      </c>
      <c r="D24" s="0" t="n">
        <f aca="false">D20*Assumptions!$B$4*$B$6</f>
        <v>171.072</v>
      </c>
      <c r="E24" s="0" t="n">
        <f aca="false">E20*Assumptions!$B$4*$B$6</f>
        <v>256.608</v>
      </c>
      <c r="F24" s="0" t="n">
        <f aca="false">F20*Assumptions!$B$4*$B$6</f>
        <v>342.144</v>
      </c>
      <c r="G24" s="0" t="n">
        <f aca="false">G20*Assumptions!$B$4*$B$6</f>
        <v>349.92</v>
      </c>
      <c r="H24" s="0" t="n">
        <f aca="false">H20*Assumptions!$B$4*$B$6</f>
        <v>272.16</v>
      </c>
      <c r="I24" s="0" t="n">
        <f aca="false">I20*Assumptions!$B$4*$B$6</f>
        <v>233.28</v>
      </c>
      <c r="J24" s="0" t="n">
        <f aca="false">J20*Assumptions!$B$4*$B$6</f>
        <v>326.592</v>
      </c>
      <c r="K24" s="0" t="n">
        <f aca="false">K20*Assumptions!$B$4*$B$6</f>
        <v>381.024</v>
      </c>
      <c r="L24" s="0" t="n">
        <f aca="false">L20*Assumptions!$B$4*$B$6</f>
        <v>311.04</v>
      </c>
      <c r="M24" s="0" t="n">
        <f aca="false">M20*Assumptions!$B$4*$B$6</f>
        <v>349.92</v>
      </c>
      <c r="N24" s="0" t="n">
        <f aca="false">N20*Assumptions!$B$4*$B$6</f>
        <v>544.32</v>
      </c>
      <c r="O24" s="0" t="n">
        <f aca="false">SUM(B24:N24)</f>
        <v>3615.84</v>
      </c>
    </row>
    <row r="25" customFormat="false" ht="15" hidden="false" customHeight="false" outlineLevel="0" collapsed="false">
      <c r="A25" s="0" t="s">
        <v>106</v>
      </c>
      <c r="C25" s="0" t="n">
        <f aca="false">C20*Assumptions!$B$5</f>
        <v>13.5</v>
      </c>
      <c r="D25" s="0" t="n">
        <f aca="false">D20*Assumptions!$B$5</f>
        <v>29.7</v>
      </c>
      <c r="E25" s="0" t="n">
        <f aca="false">E20*Assumptions!$B$5</f>
        <v>44.55</v>
      </c>
      <c r="F25" s="0" t="n">
        <f aca="false">F20*Assumptions!$B$5</f>
        <v>59.4</v>
      </c>
      <c r="G25" s="0" t="n">
        <f aca="false">G20*Assumptions!$B$5</f>
        <v>60.75</v>
      </c>
      <c r="H25" s="0" t="n">
        <f aca="false">H20*Assumptions!$B$5</f>
        <v>47.25</v>
      </c>
      <c r="I25" s="0" t="n">
        <f aca="false">I20*Assumptions!$B$5</f>
        <v>40.5</v>
      </c>
      <c r="J25" s="0" t="n">
        <f aca="false">J20*Assumptions!$B$5</f>
        <v>56.7</v>
      </c>
      <c r="K25" s="0" t="n">
        <f aca="false">K20*Assumptions!$B$5</f>
        <v>66.15</v>
      </c>
      <c r="L25" s="0" t="n">
        <f aca="false">L20*Assumptions!$B$5</f>
        <v>54</v>
      </c>
      <c r="M25" s="0" t="n">
        <f aca="false">M20*Assumptions!$B$5</f>
        <v>60.75</v>
      </c>
      <c r="N25" s="0" t="n">
        <f aca="false">N20*Assumptions!$B$5</f>
        <v>94.5</v>
      </c>
      <c r="O25" s="0" t="n">
        <f aca="false">SUM(B25:N25)</f>
        <v>627.75</v>
      </c>
    </row>
    <row r="26" customFormat="false" ht="15" hidden="false" customHeight="false" outlineLevel="0" collapsed="false">
      <c r="A26" s="0" t="s">
        <v>107</v>
      </c>
      <c r="C26" s="0" t="n">
        <f aca="false">Assumptions!$B$6*(Assumptions!$B$7*C23+Assumptions!$B$8*C20)</f>
        <v>33.356448</v>
      </c>
      <c r="D26" s="0" t="n">
        <f aca="false">Assumptions!$B$6*(Assumptions!$B$7*D23+Assumptions!$B$8*D20)</f>
        <v>73.3841856</v>
      </c>
      <c r="E26" s="0" t="n">
        <f aca="false">Assumptions!$B$6*(Assumptions!$B$7*E23+Assumptions!$B$8*E20)</f>
        <v>110.0762784</v>
      </c>
      <c r="F26" s="0" t="n">
        <f aca="false">Assumptions!$B$6*(Assumptions!$B$7*F23+Assumptions!$B$8*F20)</f>
        <v>146.7683712</v>
      </c>
      <c r="G26" s="0" t="n">
        <f aca="false">Assumptions!$B$6*(Assumptions!$B$7*G23+Assumptions!$B$8*G20)</f>
        <v>150.104016</v>
      </c>
      <c r="H26" s="0" t="n">
        <f aca="false">Assumptions!$B$6*(Assumptions!$B$7*H23+Assumptions!$B$8*H20)</f>
        <v>116.747568</v>
      </c>
      <c r="I26" s="0" t="n">
        <f aca="false">Assumptions!$B$6*(Assumptions!$B$7*I23+Assumptions!$B$8*I20)</f>
        <v>100.069344</v>
      </c>
      <c r="J26" s="0" t="n">
        <f aca="false">Assumptions!$B$6*(Assumptions!$B$7*J23+Assumptions!$B$8*J20)</f>
        <v>140.0970816</v>
      </c>
      <c r="K26" s="0" t="n">
        <f aca="false">Assumptions!$B$6*(Assumptions!$B$7*K23+Assumptions!$B$8*K20)</f>
        <v>163.4465952</v>
      </c>
      <c r="L26" s="0" t="n">
        <f aca="false">Assumptions!$B$6*(Assumptions!$B$7*L23+Assumptions!$B$8*L20)</f>
        <v>133.425792</v>
      </c>
      <c r="M26" s="0" t="n">
        <f aca="false">Assumptions!$B$6*(Assumptions!$B$7*M23+Assumptions!$B$8*M20)</f>
        <v>150.104016</v>
      </c>
      <c r="N26" s="0" t="n">
        <f aca="false">Assumptions!$B$6*(Assumptions!$B$7*N23+Assumptions!$B$8*N20)</f>
        <v>233.495136</v>
      </c>
      <c r="O26" s="0" t="n">
        <f aca="false">SUM(B26:N26)</f>
        <v>1551.074832</v>
      </c>
    </row>
    <row r="27" customFormat="false" ht="15" hidden="false" customHeight="false" outlineLevel="0" collapsed="false">
      <c r="A27" s="0" t="s">
        <v>108</v>
      </c>
      <c r="C27" s="0" t="n">
        <f aca="false">(1-Assumptions!$B$6)*Assumptions!$B$9*C23</f>
        <v>2.913408</v>
      </c>
      <c r="D27" s="0" t="n">
        <f aca="false">(1-Assumptions!$B$6)*Assumptions!$B$9*D23</f>
        <v>6.4094976</v>
      </c>
      <c r="E27" s="0" t="n">
        <f aca="false">(1-Assumptions!$B$6)*Assumptions!$B$9*E23</f>
        <v>9.6142464</v>
      </c>
      <c r="F27" s="0" t="n">
        <f aca="false">(1-Assumptions!$B$6)*Assumptions!$B$9*F23</f>
        <v>12.8189952</v>
      </c>
      <c r="G27" s="0" t="n">
        <f aca="false">(1-Assumptions!$B$6)*Assumptions!$B$9*G23</f>
        <v>13.110336</v>
      </c>
      <c r="H27" s="0" t="n">
        <f aca="false">(1-Assumptions!$B$6)*Assumptions!$B$9*H23</f>
        <v>10.196928</v>
      </c>
      <c r="I27" s="0" t="n">
        <f aca="false">(1-Assumptions!$B$6)*Assumptions!$B$9*I23</f>
        <v>8.740224</v>
      </c>
      <c r="J27" s="0" t="n">
        <f aca="false">(1-Assumptions!$B$6)*Assumptions!$B$9*J23</f>
        <v>12.2363136</v>
      </c>
      <c r="K27" s="0" t="n">
        <f aca="false">(1-Assumptions!$B$6)*Assumptions!$B$9*K23</f>
        <v>14.2756992</v>
      </c>
      <c r="L27" s="0" t="n">
        <f aca="false">(1-Assumptions!$B$6)*Assumptions!$B$9*L23</f>
        <v>11.653632</v>
      </c>
      <c r="M27" s="0" t="n">
        <f aca="false">(1-Assumptions!$B$6)*Assumptions!$B$9*M23</f>
        <v>13.110336</v>
      </c>
      <c r="N27" s="0" t="n">
        <f aca="false">(1-Assumptions!$B$6)*Assumptions!$B$9*N23</f>
        <v>20.393856</v>
      </c>
      <c r="O27" s="0" t="n">
        <f aca="false">SUM(B27:N27)</f>
        <v>135.473472</v>
      </c>
    </row>
    <row r="28" customFormat="false" ht="15" hidden="false" customHeight="false" outlineLevel="0" collapsed="false">
      <c r="A28" s="0" t="s">
        <v>109</v>
      </c>
      <c r="C28" s="0" t="n">
        <f aca="false">$B$7*C23</f>
        <v>24.2784</v>
      </c>
      <c r="D28" s="0" t="n">
        <f aca="false">$B$7*D23</f>
        <v>53.41248</v>
      </c>
      <c r="E28" s="0" t="n">
        <f aca="false">$B$7*E23</f>
        <v>80.11872</v>
      </c>
      <c r="F28" s="0" t="n">
        <f aca="false">$B$7*F23</f>
        <v>106.82496</v>
      </c>
      <c r="G28" s="0" t="n">
        <f aca="false">$B$7*G23</f>
        <v>109.2528</v>
      </c>
      <c r="H28" s="0" t="n">
        <f aca="false">$B$7*H23</f>
        <v>84.9744</v>
      </c>
      <c r="I28" s="0" t="n">
        <f aca="false">$B$7*I23</f>
        <v>72.8352</v>
      </c>
      <c r="J28" s="0" t="n">
        <f aca="false">$B$7*J23</f>
        <v>101.96928</v>
      </c>
      <c r="K28" s="0" t="n">
        <f aca="false">$B$7*K23</f>
        <v>118.96416</v>
      </c>
      <c r="L28" s="0" t="n">
        <f aca="false">$B$7*L23</f>
        <v>97.1136</v>
      </c>
      <c r="M28" s="0" t="n">
        <f aca="false">$B$7*M23</f>
        <v>109.2528</v>
      </c>
      <c r="N28" s="0" t="n">
        <f aca="false">$B$7*N23</f>
        <v>169.9488</v>
      </c>
      <c r="O28" s="0" t="n">
        <f aca="false">SUM(B28:N28)</f>
        <v>1128.9456</v>
      </c>
    </row>
    <row r="29" customFormat="false" ht="15" hidden="false" customHeight="false" outlineLevel="0" collapsed="false">
      <c r="A29" s="0" t="s">
        <v>110</v>
      </c>
      <c r="C29" s="0" t="n">
        <f aca="false">SUM(C24:C28)</f>
        <v>151.808256</v>
      </c>
      <c r="D29" s="0" t="n">
        <f aca="false">SUM(D24:D28)</f>
        <v>333.9781632</v>
      </c>
      <c r="E29" s="0" t="n">
        <f aca="false">SUM(E24:E28)</f>
        <v>500.9672448</v>
      </c>
      <c r="F29" s="0" t="n">
        <f aca="false">SUM(F24:F28)</f>
        <v>667.9563264</v>
      </c>
      <c r="G29" s="0" t="n">
        <f aca="false">SUM(G24:G28)</f>
        <v>683.137152</v>
      </c>
      <c r="H29" s="0" t="n">
        <f aca="false">SUM(H24:H28)</f>
        <v>531.328896</v>
      </c>
      <c r="I29" s="0" t="n">
        <f aca="false">SUM(I24:I28)</f>
        <v>455.424768</v>
      </c>
      <c r="J29" s="0" t="n">
        <f aca="false">SUM(J24:J28)</f>
        <v>637.5946752</v>
      </c>
      <c r="K29" s="0" t="n">
        <f aca="false">SUM(K24:K28)</f>
        <v>743.8604544</v>
      </c>
      <c r="L29" s="0" t="n">
        <f aca="false">SUM(L24:L28)</f>
        <v>607.233024</v>
      </c>
      <c r="M29" s="0" t="n">
        <f aca="false">SUM(M24:M28)</f>
        <v>683.137152</v>
      </c>
      <c r="N29" s="0" t="n">
        <f aca="false">SUM(N24:N28)</f>
        <v>1062.657792</v>
      </c>
      <c r="O29" s="0" t="n">
        <f aca="false">SUM(B29:N29)</f>
        <v>7059.083904</v>
      </c>
    </row>
    <row r="30" customFormat="false" ht="15" hidden="false" customHeight="false" outlineLevel="0" collapsed="false">
      <c r="A30" s="1" t="s">
        <v>111</v>
      </c>
      <c r="C30" s="3" t="n">
        <f aca="false">C23-C29</f>
        <v>333.759744</v>
      </c>
      <c r="D30" s="3" t="n">
        <f aca="false">D23-D29</f>
        <v>734.2714368</v>
      </c>
      <c r="E30" s="3" t="n">
        <f aca="false">E23-E29</f>
        <v>1101.4071552</v>
      </c>
      <c r="F30" s="3" t="n">
        <f aca="false">F23-F29</f>
        <v>1468.5428736</v>
      </c>
      <c r="G30" s="3" t="n">
        <f aca="false">G23-G29</f>
        <v>1501.918848</v>
      </c>
      <c r="H30" s="3" t="n">
        <f aca="false">H23-H29</f>
        <v>1168.159104</v>
      </c>
      <c r="I30" s="3" t="n">
        <f aca="false">I23-I29</f>
        <v>1001.279232</v>
      </c>
      <c r="J30" s="3" t="n">
        <f aca="false">J23-J29</f>
        <v>1401.7909248</v>
      </c>
      <c r="K30" s="3" t="n">
        <f aca="false">K23-K29</f>
        <v>1635.4227456</v>
      </c>
      <c r="L30" s="3" t="n">
        <f aca="false">L23-L29</f>
        <v>1335.038976</v>
      </c>
      <c r="M30" s="3" t="n">
        <f aca="false">M23-M29</f>
        <v>1501.918848</v>
      </c>
      <c r="N30" s="3" t="n">
        <f aca="false">N23-N29</f>
        <v>2336.318208</v>
      </c>
      <c r="O30" s="3" t="n">
        <f aca="false">SUM(B30:N30)</f>
        <v>15519.828096</v>
      </c>
    </row>
    <row r="31" customFormat="false" ht="15" hidden="false" customHeight="false" outlineLevel="0" collapsed="false">
      <c r="A31" s="0" t="s">
        <v>112</v>
      </c>
      <c r="C31" s="0" t="n">
        <f aca="false">IF(C17=0,0,MAX(1,ROUNDUP(C19/C17/Assumptions!$B$10,0)))</f>
        <v>1</v>
      </c>
      <c r="D31" s="0" t="n">
        <f aca="false">IF(D17=0,0,MAX(1,ROUNDUP(D19/D17/Assumptions!$B$10,0)))</f>
        <v>1</v>
      </c>
      <c r="E31" s="0" t="n">
        <f aca="false">IF(E17=0,0,MAX(1,ROUNDUP(E19/E17/Assumptions!$B$10,0)))</f>
        <v>1</v>
      </c>
      <c r="F31" s="0" t="n">
        <f aca="false">IF(F17=0,0,MAX(1,ROUNDUP(F19/F17/Assumptions!$B$10,0)))</f>
        <v>1</v>
      </c>
      <c r="G31" s="0" t="n">
        <f aca="false">IF(G17=0,0,MAX(1,ROUNDUP(G19/G17/Assumptions!$B$10,0)))</f>
        <v>1</v>
      </c>
      <c r="H31" s="0" t="n">
        <f aca="false">IF(H17=0,0,MAX(1,ROUNDUP(H19/H17/Assumptions!$B$10,0)))</f>
        <v>1</v>
      </c>
      <c r="I31" s="0" t="n">
        <f aca="false">IF(I17=0,0,MAX(1,ROUNDUP(I19/I17/Assumptions!$B$10,0)))</f>
        <v>1</v>
      </c>
      <c r="J31" s="0" t="n">
        <f aca="false">IF(J17=0,0,MAX(1,ROUNDUP(J19/J17/Assumptions!$B$10,0)))</f>
        <v>1</v>
      </c>
      <c r="K31" s="0" t="n">
        <f aca="false">IF(K17=0,0,MAX(1,ROUNDUP(K19/K17/Assumptions!$B$10,0)))</f>
        <v>1</v>
      </c>
      <c r="L31" s="0" t="n">
        <f aca="false">IF(L17=0,0,MAX(1,ROUNDUP(L19/L17/Assumptions!$B$10,0)))</f>
        <v>1</v>
      </c>
      <c r="M31" s="0" t="n">
        <f aca="false">IF(M17=0,0,MAX(1,ROUNDUP(M19/M17/Assumptions!$B$10,0)))</f>
        <v>1</v>
      </c>
      <c r="N31" s="0" t="n">
        <f aca="false">IF(N17=0,0,MAX(1,ROUNDUP(N19/N17/Assumptions!$B$10,0)))</f>
        <v>1</v>
      </c>
    </row>
    <row r="32" customFormat="false" ht="15" hidden="false" customHeight="false" outlineLevel="0" collapsed="false">
      <c r="A32" s="0" t="s">
        <v>113</v>
      </c>
      <c r="C32" s="0" t="n">
        <f aca="false">C17*C31*$B$8*Assumptions!$B$19+C20*Assumptions!$B$11</f>
        <v>1254</v>
      </c>
      <c r="D32" s="0" t="n">
        <f aca="false">D17*D31*$B$8*Assumptions!$B$19+D20*Assumptions!$B$11</f>
        <v>1318.8</v>
      </c>
      <c r="E32" s="0" t="n">
        <f aca="false">E17*E31*$B$8*Assumptions!$B$19+E20*Assumptions!$B$11</f>
        <v>1378.2</v>
      </c>
      <c r="F32" s="0" t="n">
        <f aca="false">F17*F31*$B$8*Assumptions!$B$19+F20*Assumptions!$B$11</f>
        <v>1437.6</v>
      </c>
      <c r="G32" s="0" t="n">
        <f aca="false">G17*G31*$B$8*Assumptions!$B$19+G20*Assumptions!$B$11</f>
        <v>1443</v>
      </c>
      <c r="H32" s="0" t="n">
        <f aca="false">H17*H31*$B$8*Assumptions!$B$19+H20*Assumptions!$B$11</f>
        <v>1389</v>
      </c>
      <c r="I32" s="0" t="n">
        <f aca="false">I17*I31*$B$8*Assumptions!$B$19+I20*Assumptions!$B$11</f>
        <v>1362</v>
      </c>
      <c r="J32" s="0" t="n">
        <f aca="false">J17*J31*$B$8*Assumptions!$B$19+J20*Assumptions!$B$11</f>
        <v>2626.8</v>
      </c>
      <c r="K32" s="0" t="n">
        <f aca="false">K17*K31*$B$8*Assumptions!$B$19+K20*Assumptions!$B$11</f>
        <v>2664.6</v>
      </c>
      <c r="L32" s="0" t="n">
        <f aca="false">L17*L31*$B$8*Assumptions!$B$19+L20*Assumptions!$B$11</f>
        <v>2616</v>
      </c>
      <c r="M32" s="0" t="n">
        <f aca="false">M17*M31*$B$8*Assumptions!$B$19+M20*Assumptions!$B$11</f>
        <v>2643</v>
      </c>
      <c r="N32" s="0" t="n">
        <f aca="false">N17*N31*$B$8*Assumptions!$B$19+N20*Assumptions!$B$11</f>
        <v>2778</v>
      </c>
      <c r="O32" s="0" t="n">
        <f aca="false">SUM(B32:N32)</f>
        <v>22911</v>
      </c>
    </row>
    <row r="33" customFormat="false" ht="15" hidden="false" customHeight="false" outlineLevel="0" collapsed="false">
      <c r="A33" s="1" t="s">
        <v>114</v>
      </c>
      <c r="C33" s="3" t="n">
        <f aca="false">C30-C32</f>
        <v>-920.240256</v>
      </c>
      <c r="D33" s="3" t="n">
        <f aca="false">D30-D32</f>
        <v>-584.5285632</v>
      </c>
      <c r="E33" s="3" t="n">
        <f aca="false">E30-E32</f>
        <v>-276.7928448</v>
      </c>
      <c r="F33" s="3" t="n">
        <f aca="false">F30-F32</f>
        <v>30.9428736000002</v>
      </c>
      <c r="G33" s="3" t="n">
        <f aca="false">G30-G32</f>
        <v>58.9188480000003</v>
      </c>
      <c r="H33" s="3" t="n">
        <f aca="false">H30-H32</f>
        <v>-220.840896</v>
      </c>
      <c r="I33" s="3" t="n">
        <f aca="false">I30-I32</f>
        <v>-360.720768</v>
      </c>
      <c r="J33" s="3" t="n">
        <f aca="false">J30-J32</f>
        <v>-1225.0090752</v>
      </c>
      <c r="K33" s="3" t="n">
        <f aca="false">K30-K32</f>
        <v>-1029.1772544</v>
      </c>
      <c r="L33" s="3" t="n">
        <f aca="false">L30-L32</f>
        <v>-1280.961024</v>
      </c>
      <c r="M33" s="3" t="n">
        <f aca="false">M30-M32</f>
        <v>-1141.081152</v>
      </c>
      <c r="N33" s="3" t="n">
        <f aca="false">N30-N32</f>
        <v>-441.681792</v>
      </c>
      <c r="O33" s="3" t="n">
        <f aca="false">SUM(B33:N33)</f>
        <v>-7391.171904</v>
      </c>
    </row>
    <row r="34" customFormat="false" ht="15" hidden="false" customHeight="false" outlineLevel="0" collapsed="false">
      <c r="A34" s="0" t="s">
        <v>115</v>
      </c>
      <c r="C34" s="0" t="n">
        <f aca="false">Assumptions!$B$13</f>
        <v>130</v>
      </c>
      <c r="D34" s="0" t="n">
        <f aca="false">Assumptions!$B$13</f>
        <v>130</v>
      </c>
      <c r="E34" s="0" t="n">
        <f aca="false">Assumptions!$B$13</f>
        <v>130</v>
      </c>
      <c r="F34" s="0" t="n">
        <f aca="false">Assumptions!$B$13</f>
        <v>130</v>
      </c>
      <c r="G34" s="0" t="n">
        <f aca="false">Assumptions!$B$13</f>
        <v>130</v>
      </c>
      <c r="H34" s="0" t="n">
        <f aca="false">Assumptions!$B$13</f>
        <v>130</v>
      </c>
      <c r="I34" s="0" t="n">
        <f aca="false">Assumptions!$B$13</f>
        <v>130</v>
      </c>
      <c r="J34" s="0" t="n">
        <f aca="false">Assumptions!$B$13</f>
        <v>130</v>
      </c>
      <c r="K34" s="0" t="n">
        <f aca="false">Assumptions!$B$13</f>
        <v>130</v>
      </c>
      <c r="L34" s="0" t="n">
        <f aca="false">Assumptions!$B$13</f>
        <v>130</v>
      </c>
      <c r="M34" s="0" t="n">
        <f aca="false">Assumptions!$B$13</f>
        <v>130</v>
      </c>
      <c r="N34" s="0" t="n">
        <f aca="false">Assumptions!$B$13</f>
        <v>130</v>
      </c>
      <c r="O34" s="0" t="n">
        <f aca="false">SUM(B34:N34)</f>
        <v>1560</v>
      </c>
    </row>
    <row r="35" customFormat="false" ht="15" hidden="false" customHeight="false" outlineLevel="0" collapsed="false">
      <c r="A35" s="0" t="s">
        <v>116</v>
      </c>
      <c r="C35" s="0" t="n">
        <f aca="false">Assumptions!$B$14+Assumptions!$B$15</f>
        <v>180</v>
      </c>
      <c r="D35" s="0" t="n">
        <f aca="false">Assumptions!$B$14+Assumptions!$B$15</f>
        <v>180</v>
      </c>
      <c r="E35" s="0" t="n">
        <f aca="false">Assumptions!$B$14+Assumptions!$B$15</f>
        <v>180</v>
      </c>
      <c r="F35" s="0" t="n">
        <f aca="false">Assumptions!$B$14+Assumptions!$B$15</f>
        <v>180</v>
      </c>
      <c r="G35" s="0" t="n">
        <f aca="false">Assumptions!$B$14+Assumptions!$B$15</f>
        <v>180</v>
      </c>
      <c r="H35" s="0" t="n">
        <f aca="false">Assumptions!$B$14+Assumptions!$B$15</f>
        <v>180</v>
      </c>
      <c r="I35" s="0" t="n">
        <f aca="false">Assumptions!$B$14+Assumptions!$B$15</f>
        <v>180</v>
      </c>
      <c r="J35" s="0" t="n">
        <f aca="false">Assumptions!$B$14+Assumptions!$B$15</f>
        <v>180</v>
      </c>
      <c r="K35" s="0" t="n">
        <f aca="false">Assumptions!$B$14+Assumptions!$B$15</f>
        <v>180</v>
      </c>
      <c r="L35" s="0" t="n">
        <f aca="false">Assumptions!$B$14+Assumptions!$B$15</f>
        <v>180</v>
      </c>
      <c r="M35" s="0" t="n">
        <f aca="false">Assumptions!$B$14+Assumptions!$B$15</f>
        <v>180</v>
      </c>
      <c r="N35" s="0" t="n">
        <f aca="false">Assumptions!$B$14+Assumptions!$B$15</f>
        <v>180</v>
      </c>
      <c r="O35" s="0" t="n">
        <f aca="false">SUM(B35:N35)</f>
        <v>2160</v>
      </c>
    </row>
    <row r="36" customFormat="false" ht="15" hidden="false" customHeight="false" outlineLevel="0" collapsed="false">
      <c r="A36" s="0" t="s">
        <v>117</v>
      </c>
      <c r="C36" s="0" t="n">
        <f aca="false">C17*Assumptions!$B$16</f>
        <v>25</v>
      </c>
      <c r="D36" s="0" t="n">
        <f aca="false">D17*Assumptions!$B$16</f>
        <v>25</v>
      </c>
      <c r="E36" s="0" t="n">
        <f aca="false">E17*Assumptions!$B$16</f>
        <v>25</v>
      </c>
      <c r="F36" s="0" t="n">
        <f aca="false">F17*Assumptions!$B$16</f>
        <v>25</v>
      </c>
      <c r="G36" s="0" t="n">
        <f aca="false">G17*Assumptions!$B$16</f>
        <v>25</v>
      </c>
      <c r="H36" s="0" t="n">
        <f aca="false">H17*Assumptions!$B$16</f>
        <v>25</v>
      </c>
      <c r="I36" s="0" t="n">
        <f aca="false">I17*Assumptions!$B$16</f>
        <v>25</v>
      </c>
      <c r="J36" s="0" t="n">
        <f aca="false">J17*Assumptions!$B$16</f>
        <v>50</v>
      </c>
      <c r="K36" s="0" t="n">
        <f aca="false">K17*Assumptions!$B$16</f>
        <v>50</v>
      </c>
      <c r="L36" s="0" t="n">
        <f aca="false">L17*Assumptions!$B$16</f>
        <v>50</v>
      </c>
      <c r="M36" s="0" t="n">
        <f aca="false">M17*Assumptions!$B$16</f>
        <v>50</v>
      </c>
      <c r="N36" s="0" t="n">
        <f aca="false">N17*Assumptions!$B$16</f>
        <v>50</v>
      </c>
      <c r="O36" s="0" t="n">
        <f aca="false">SUM(B36:N36)</f>
        <v>425</v>
      </c>
    </row>
    <row r="37" customFormat="false" ht="15" hidden="false" customHeight="false" outlineLevel="0" collapsed="false">
      <c r="A37" s="0" t="s">
        <v>118</v>
      </c>
      <c r="C37" s="0" t="n">
        <f aca="false">IF(C13&gt;=2,ROUNDUP(C17/3,0)*Assumptions!$B$12,0)</f>
        <v>0</v>
      </c>
      <c r="D37" s="0" t="n">
        <f aca="false">IF(D13&gt;=2,ROUNDUP(D17/3,0)*Assumptions!$B$12,0)</f>
        <v>650</v>
      </c>
      <c r="E37" s="0" t="n">
        <f aca="false">IF(E13&gt;=2,ROUNDUP(E17/3,0)*Assumptions!$B$12,0)</f>
        <v>650</v>
      </c>
      <c r="F37" s="0" t="n">
        <f aca="false">IF(F13&gt;=2,ROUNDUP(F17/3,0)*Assumptions!$B$12,0)</f>
        <v>650</v>
      </c>
      <c r="G37" s="0" t="n">
        <f aca="false">IF(G13&gt;=2,ROUNDUP(G17/3,0)*Assumptions!$B$12,0)</f>
        <v>650</v>
      </c>
      <c r="H37" s="0" t="n">
        <f aca="false">IF(H13&gt;=2,ROUNDUP(H17/3,0)*Assumptions!$B$12,0)</f>
        <v>650</v>
      </c>
      <c r="I37" s="0" t="n">
        <f aca="false">IF(I13&gt;=2,ROUNDUP(I17/3,0)*Assumptions!$B$12,0)</f>
        <v>650</v>
      </c>
      <c r="J37" s="0" t="n">
        <f aca="false">IF(J13&gt;=2,ROUNDUP(J17/3,0)*Assumptions!$B$12,0)</f>
        <v>650</v>
      </c>
      <c r="K37" s="0" t="n">
        <f aca="false">IF(K13&gt;=2,ROUNDUP(K17/3,0)*Assumptions!$B$12,0)</f>
        <v>650</v>
      </c>
      <c r="L37" s="0" t="n">
        <f aca="false">IF(L13&gt;=2,ROUNDUP(L17/3,0)*Assumptions!$B$12,0)</f>
        <v>650</v>
      </c>
      <c r="M37" s="0" t="n">
        <f aca="false">IF(M13&gt;=2,ROUNDUP(M17/3,0)*Assumptions!$B$12,0)</f>
        <v>650</v>
      </c>
      <c r="N37" s="0" t="n">
        <f aca="false">IF(N13&gt;=2,ROUNDUP(N17/3,0)*Assumptions!$B$12,0)</f>
        <v>650</v>
      </c>
      <c r="O37" s="0" t="n">
        <f aca="false">SUM(B37:N37)</f>
        <v>7150</v>
      </c>
    </row>
    <row r="38" customFormat="false" ht="15" hidden="false" customHeight="false" outlineLevel="0" collapsed="false">
      <c r="A38" s="0" t="s">
        <v>119</v>
      </c>
      <c r="C38" s="0" t="n">
        <f aca="false">$B$9</f>
        <v>500</v>
      </c>
      <c r="D38" s="0" t="n">
        <f aca="false">$B$9</f>
        <v>500</v>
      </c>
      <c r="E38" s="0" t="n">
        <f aca="false">$B$9</f>
        <v>500</v>
      </c>
      <c r="F38" s="0" t="n">
        <f aca="false">$B$9</f>
        <v>500</v>
      </c>
      <c r="G38" s="0" t="n">
        <f aca="false">$B$9</f>
        <v>500</v>
      </c>
      <c r="H38" s="0" t="n">
        <f aca="false">$B$9</f>
        <v>500</v>
      </c>
      <c r="I38" s="0" t="n">
        <f aca="false">$B$9</f>
        <v>500</v>
      </c>
      <c r="J38" s="0" t="n">
        <f aca="false">$B$9</f>
        <v>500</v>
      </c>
      <c r="K38" s="0" t="n">
        <f aca="false">$B$9</f>
        <v>500</v>
      </c>
      <c r="L38" s="0" t="n">
        <f aca="false">$B$9</f>
        <v>500</v>
      </c>
      <c r="M38" s="0" t="n">
        <f aca="false">$B$9</f>
        <v>500</v>
      </c>
      <c r="N38" s="0" t="n">
        <f aca="false">$B$9</f>
        <v>500</v>
      </c>
      <c r="O38" s="0" t="n">
        <f aca="false">SUM(B38:N38)</f>
        <v>6000</v>
      </c>
    </row>
    <row r="39" customFormat="false" ht="15" hidden="false" customHeight="false" outlineLevel="0" collapsed="false">
      <c r="A39" s="0" t="s">
        <v>120</v>
      </c>
      <c r="C39" s="0" t="n">
        <f aca="false">SUM(C34:C38)</f>
        <v>835</v>
      </c>
      <c r="D39" s="0" t="n">
        <f aca="false">SUM(D34:D38)</f>
        <v>1485</v>
      </c>
      <c r="E39" s="0" t="n">
        <f aca="false">SUM(E34:E38)</f>
        <v>1485</v>
      </c>
      <c r="F39" s="0" t="n">
        <f aca="false">SUM(F34:F38)</f>
        <v>1485</v>
      </c>
      <c r="G39" s="0" t="n">
        <f aca="false">SUM(G34:G38)</f>
        <v>1485</v>
      </c>
      <c r="H39" s="0" t="n">
        <f aca="false">SUM(H34:H38)</f>
        <v>1485</v>
      </c>
      <c r="I39" s="0" t="n">
        <f aca="false">SUM(I34:I38)</f>
        <v>1485</v>
      </c>
      <c r="J39" s="0" t="n">
        <f aca="false">SUM(J34:J38)</f>
        <v>1510</v>
      </c>
      <c r="K39" s="0" t="n">
        <f aca="false">SUM(K34:K38)</f>
        <v>1510</v>
      </c>
      <c r="L39" s="0" t="n">
        <f aca="false">SUM(L34:L38)</f>
        <v>1510</v>
      </c>
      <c r="M39" s="0" t="n">
        <f aca="false">SUM(M34:M38)</f>
        <v>1510</v>
      </c>
      <c r="N39" s="0" t="n">
        <f aca="false">SUM(N34:N38)</f>
        <v>1510</v>
      </c>
      <c r="O39" s="0" t="n">
        <f aca="false">SUM(B39:N39)</f>
        <v>17295</v>
      </c>
    </row>
    <row r="40" customFormat="false" ht="15" hidden="false" customHeight="false" outlineLevel="0" collapsed="false">
      <c r="A40" s="1" t="s">
        <v>121</v>
      </c>
      <c r="C40" s="3" t="n">
        <f aca="false">C33-C39</f>
        <v>-1755.240256</v>
      </c>
      <c r="D40" s="3" t="n">
        <f aca="false">D33-D39</f>
        <v>-2069.5285632</v>
      </c>
      <c r="E40" s="3" t="n">
        <f aca="false">E33-E39</f>
        <v>-1761.7928448</v>
      </c>
      <c r="F40" s="3" t="n">
        <f aca="false">F33-F39</f>
        <v>-1454.0571264</v>
      </c>
      <c r="G40" s="3" t="n">
        <f aca="false">G33-G39</f>
        <v>-1426.081152</v>
      </c>
      <c r="H40" s="3" t="n">
        <f aca="false">H33-H39</f>
        <v>-1705.840896</v>
      </c>
      <c r="I40" s="3" t="n">
        <f aca="false">I33-I39</f>
        <v>-1845.720768</v>
      </c>
      <c r="J40" s="3" t="n">
        <f aca="false">J33-J39</f>
        <v>-2735.0090752</v>
      </c>
      <c r="K40" s="3" t="n">
        <f aca="false">K33-K39</f>
        <v>-2539.1772544</v>
      </c>
      <c r="L40" s="3" t="n">
        <f aca="false">L33-L39</f>
        <v>-2790.961024</v>
      </c>
      <c r="M40" s="3" t="n">
        <f aca="false">M33-M39</f>
        <v>-2651.081152</v>
      </c>
      <c r="N40" s="3" t="n">
        <f aca="false">N33-N39</f>
        <v>-1951.681792</v>
      </c>
      <c r="O40" s="3" t="n">
        <f aca="false">SUM(B40:N40)</f>
        <v>-24686.171904</v>
      </c>
    </row>
    <row r="41" customFormat="false" ht="15" hidden="false" customHeight="false" outlineLevel="0" collapsed="false">
      <c r="A41" s="0" t="s">
        <v>122</v>
      </c>
      <c r="B41" s="0" t="n">
        <f aca="false">Assumptions!$B$35</f>
        <v>9821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f aca="false">SUM(B41:N41)</f>
        <v>9821</v>
      </c>
    </row>
    <row r="42" customFormat="false" ht="15" hidden="false" customHeight="false" outlineLevel="0" collapsed="false">
      <c r="A42" s="0" t="s">
        <v>123</v>
      </c>
      <c r="C42" s="0" t="n">
        <f aca="false">C16*Assumptions!$B$17</f>
        <v>1700</v>
      </c>
      <c r="D42" s="0" t="n">
        <f aca="false">D16*Assumptions!$B$17</f>
        <v>0</v>
      </c>
      <c r="E42" s="0" t="n">
        <f aca="false">E16*Assumptions!$B$17</f>
        <v>0</v>
      </c>
      <c r="F42" s="0" t="n">
        <f aca="false">F16*Assumptions!$B$17</f>
        <v>0</v>
      </c>
      <c r="G42" s="0" t="n">
        <f aca="false">G16*Assumptions!$B$17</f>
        <v>0</v>
      </c>
      <c r="H42" s="0" t="n">
        <f aca="false">H16*Assumptions!$B$17</f>
        <v>0</v>
      </c>
      <c r="I42" s="0" t="n">
        <f aca="false">I16*Assumptions!$B$17</f>
        <v>0</v>
      </c>
      <c r="J42" s="0" t="n">
        <f aca="false">J16*Assumptions!$B$17</f>
        <v>1700</v>
      </c>
      <c r="K42" s="0" t="n">
        <f aca="false">K16*Assumptions!$B$17</f>
        <v>0</v>
      </c>
      <c r="L42" s="0" t="n">
        <f aca="false">L16*Assumptions!$B$17</f>
        <v>0</v>
      </c>
      <c r="M42" s="0" t="n">
        <f aca="false">M16*Assumptions!$B$17</f>
        <v>0</v>
      </c>
      <c r="N42" s="0" t="n">
        <f aca="false">N16*Assumptions!$B$17</f>
        <v>0</v>
      </c>
      <c r="O42" s="0" t="n">
        <f aca="false">SUM(B42:N42)</f>
        <v>3400</v>
      </c>
    </row>
    <row r="43" customFormat="false" ht="15" hidden="false" customHeight="false" outlineLevel="0" collapsed="false">
      <c r="A43" s="1" t="s">
        <v>124</v>
      </c>
      <c r="B43" s="3" t="n">
        <f aca="false">-B41</f>
        <v>-9821</v>
      </c>
      <c r="C43" s="3" t="n">
        <f aca="false">C40-C41-C42</f>
        <v>-3455.240256</v>
      </c>
      <c r="D43" s="3" t="n">
        <f aca="false">D40-D41-D42</f>
        <v>-2069.5285632</v>
      </c>
      <c r="E43" s="3" t="n">
        <f aca="false">E40-E41-E42</f>
        <v>-1761.7928448</v>
      </c>
      <c r="F43" s="3" t="n">
        <f aca="false">F40-F41-F42</f>
        <v>-1454.0571264</v>
      </c>
      <c r="G43" s="3" t="n">
        <f aca="false">G40-G41-G42</f>
        <v>-1426.081152</v>
      </c>
      <c r="H43" s="3" t="n">
        <f aca="false">H40-H41-H42</f>
        <v>-1705.840896</v>
      </c>
      <c r="I43" s="3" t="n">
        <f aca="false">I40-I41-I42</f>
        <v>-1845.720768</v>
      </c>
      <c r="J43" s="3" t="n">
        <f aca="false">J40-J41-J42</f>
        <v>-4435.0090752</v>
      </c>
      <c r="K43" s="3" t="n">
        <f aca="false">K40-K41-K42</f>
        <v>-2539.1772544</v>
      </c>
      <c r="L43" s="3" t="n">
        <f aca="false">L40-L41-L42</f>
        <v>-2790.961024</v>
      </c>
      <c r="M43" s="3" t="n">
        <f aca="false">M40-M41-M42</f>
        <v>-2651.081152</v>
      </c>
      <c r="N43" s="3" t="n">
        <f aca="false">N40-N41-N42</f>
        <v>-1951.681792</v>
      </c>
      <c r="O43" s="3" t="n">
        <f aca="false">SUM(B43:N43)</f>
        <v>-37907.171904</v>
      </c>
    </row>
    <row r="44" customFormat="false" ht="15" hidden="false" customHeight="false" outlineLevel="0" collapsed="false">
      <c r="A44" s="1" t="s">
        <v>125</v>
      </c>
      <c r="B44" s="3" t="n">
        <f aca="false">-B41</f>
        <v>-9821</v>
      </c>
      <c r="C44" s="3" t="n">
        <f aca="false">B44+C43</f>
        <v>-13276.240256</v>
      </c>
      <c r="D44" s="3" t="n">
        <f aca="false">C44+D43</f>
        <v>-15345.7688192</v>
      </c>
      <c r="E44" s="3" t="n">
        <f aca="false">D44+E43</f>
        <v>-17107.561664</v>
      </c>
      <c r="F44" s="3" t="n">
        <f aca="false">E44+F43</f>
        <v>-18561.6187904</v>
      </c>
      <c r="G44" s="3" t="n">
        <f aca="false">F44+G43</f>
        <v>-19987.6999424</v>
      </c>
      <c r="H44" s="3" t="n">
        <f aca="false">G44+H43</f>
        <v>-21693.5408384</v>
      </c>
      <c r="I44" s="3" t="n">
        <f aca="false">H44+I43</f>
        <v>-23539.2616064</v>
      </c>
      <c r="J44" s="3" t="n">
        <f aca="false">I44+J43</f>
        <v>-27974.2706816</v>
      </c>
      <c r="K44" s="3" t="n">
        <f aca="false">J44+K43</f>
        <v>-30513.447936</v>
      </c>
      <c r="L44" s="3" t="n">
        <f aca="false">K44+L43</f>
        <v>-33304.40896</v>
      </c>
      <c r="M44" s="3" t="n">
        <f aca="false">L44+M43</f>
        <v>-35955.490112</v>
      </c>
      <c r="N44" s="3" t="n">
        <f aca="false">M44+N43</f>
        <v>-37907.171904</v>
      </c>
    </row>
    <row r="47" customFormat="false" ht="15" hidden="false" customHeight="false" outlineLevel="0" collapsed="false">
      <c r="A47" s="0" t="s">
        <v>126</v>
      </c>
      <c r="C47" s="0" t="n">
        <f aca="false">IF(C23=0,0,C33/C23)</f>
        <v>-1.89518307631475</v>
      </c>
      <c r="D47" s="0" t="n">
        <f aca="false">IF(D23=0,0,D33/D23)</f>
        <v>-0.547183507674611</v>
      </c>
      <c r="E47" s="0" t="n">
        <f aca="false">IF(E23=0,0,E33/E23)</f>
        <v>-0.17273918305235</v>
      </c>
      <c r="F47" s="0" t="n">
        <f aca="false">IF(F23=0,0,F33/F23)</f>
        <v>0.0144829792587801</v>
      </c>
      <c r="G47" s="0" t="n">
        <f aca="false">IF(G23=0,0,G33/G23)</f>
        <v>0.0269644567461888</v>
      </c>
      <c r="H47" s="0" t="n">
        <f aca="false">IF(H23=0,0,H33/H23)</f>
        <v>-0.129945545952664</v>
      </c>
      <c r="I47" s="0" t="n">
        <f aca="false">IF(I23=0,0,I33/I23)</f>
        <v>-0.247628047976802</v>
      </c>
      <c r="J47" s="0" t="n">
        <f aca="false">IF(J23=0,0,J33/J23)</f>
        <v>-0.60067555404922</v>
      </c>
      <c r="K47" s="0" t="n">
        <f aca="false">IF(K23=0,0,K33/K23)</f>
        <v>-0.432557694014735</v>
      </c>
      <c r="L47" s="0" t="n">
        <f aca="false">IF(L23=0,0,L33/L23)</f>
        <v>-0.659516805061289</v>
      </c>
      <c r="M47" s="0" t="n">
        <f aca="false">IF(M23=0,0,M33/M23)</f>
        <v>-0.522220552699793</v>
      </c>
      <c r="N47" s="0" t="n">
        <f aca="false">IF(N23=0,0,N33/N23)</f>
        <v>-0.129945545952664</v>
      </c>
    </row>
    <row r="48" customFormat="false" ht="15" hidden="false" customHeight="false" outlineLevel="0" collapsed="false">
      <c r="A48" s="0" t="s">
        <v>127</v>
      </c>
      <c r="C48" s="0" t="n">
        <f aca="false">C23*Assumptions!$B$3</f>
        <v>76719.744</v>
      </c>
      <c r="D48" s="0" t="n">
        <f aca="false">D23*Assumptions!$B$3</f>
        <v>168783.4368</v>
      </c>
      <c r="E48" s="0" t="n">
        <f aca="false">E23*Assumptions!$B$3</f>
        <v>253175.1552</v>
      </c>
      <c r="F48" s="0" t="n">
        <f aca="false">F23*Assumptions!$B$3</f>
        <v>337566.8736</v>
      </c>
      <c r="G48" s="0" t="n">
        <f aca="false">G23*Assumptions!$B$3</f>
        <v>345238.848</v>
      </c>
      <c r="H48" s="0" t="n">
        <f aca="false">H23*Assumptions!$B$3</f>
        <v>268519.104</v>
      </c>
      <c r="I48" s="0" t="n">
        <f aca="false">I23*Assumptions!$B$3</f>
        <v>230159.232</v>
      </c>
      <c r="J48" s="0" t="n">
        <f aca="false">J23*Assumptions!$B$3</f>
        <v>322222.9248</v>
      </c>
      <c r="K48" s="0" t="n">
        <f aca="false">K23*Assumptions!$B$3</f>
        <v>375926.7456</v>
      </c>
      <c r="L48" s="0" t="n">
        <f aca="false">L23*Assumptions!$B$3</f>
        <v>306878.976</v>
      </c>
      <c r="M48" s="0" t="n">
        <f aca="false">M23*Assumptions!$B$3</f>
        <v>345238.848</v>
      </c>
      <c r="N48" s="0" t="n">
        <f aca="false">N23*Assumptions!$B$3</f>
        <v>537038.208</v>
      </c>
      <c r="O48" s="0" t="n">
        <f aca="false">SUM(B48:N48)</f>
        <v>3567468.096</v>
      </c>
    </row>
    <row r="49" customFormat="false" ht="15" hidden="false" customHeight="false" outlineLevel="0" collapsed="false">
      <c r="A49" s="0" t="s">
        <v>128</v>
      </c>
      <c r="C49" s="0" t="n">
        <f aca="false">C40*Assumptions!$B$3</f>
        <v>-277327.960448</v>
      </c>
      <c r="D49" s="0" t="n">
        <f aca="false">D40*Assumptions!$B$3</f>
        <v>-326985.5129856</v>
      </c>
      <c r="E49" s="0" t="n">
        <f aca="false">E40*Assumptions!$B$3</f>
        <v>-278363.2694784</v>
      </c>
      <c r="F49" s="0" t="n">
        <f aca="false">F40*Assumptions!$B$3</f>
        <v>-229741.0259712</v>
      </c>
      <c r="G49" s="0" t="n">
        <f aca="false">G40*Assumptions!$B$3</f>
        <v>-225320.822016</v>
      </c>
      <c r="H49" s="0" t="n">
        <f aca="false">H40*Assumptions!$B$3</f>
        <v>-269522.861568</v>
      </c>
      <c r="I49" s="0" t="n">
        <f aca="false">I40*Assumptions!$B$3</f>
        <v>-291623.881344</v>
      </c>
      <c r="J49" s="0" t="n">
        <f aca="false">J40*Assumptions!$B$3</f>
        <v>-432131.4338816</v>
      </c>
      <c r="K49" s="0" t="n">
        <f aca="false">K40*Assumptions!$B$3</f>
        <v>-401190.0061952</v>
      </c>
      <c r="L49" s="0" t="n">
        <f aca="false">L40*Assumptions!$B$3</f>
        <v>-440971.841792</v>
      </c>
      <c r="M49" s="0" t="n">
        <f aca="false">M40*Assumptions!$B$3</f>
        <v>-418870.822016</v>
      </c>
      <c r="N49" s="0" t="n">
        <f aca="false">N40*Assumptions!$B$3</f>
        <v>-308365.723136</v>
      </c>
      <c r="O49" s="0" t="n">
        <f aca="false">SUM(B49:N49)</f>
        <v>-3900415.160832</v>
      </c>
    </row>
    <row r="51" customFormat="false" ht="15" hidden="false" customHeight="false" outlineLevel="0" collapsed="false">
      <c r="A51" s="0" t="s">
        <v>129</v>
      </c>
      <c r="B51" s="0" t="n">
        <f aca="false">-MIN(B44:N44)</f>
        <v>37907.171904</v>
      </c>
    </row>
    <row r="52" customFormat="false" ht="15" hidden="false" customHeight="false" outlineLevel="0" collapsed="false">
      <c r="A52" s="0" t="s">
        <v>130</v>
      </c>
      <c r="B52" s="0" t="n">
        <f aca="false">B51*Assumptions!$B$3</f>
        <v>5989333.160832</v>
      </c>
    </row>
    <row r="53" customFormat="false" ht="15" hidden="false" customHeight="false" outlineLevel="0" collapsed="false">
      <c r="A53" s="0" t="s">
        <v>131</v>
      </c>
      <c r="B53" s="0" t="str">
        <f aca="false">IFERROR(INDEX(C14:N14,MATCH(TRUE(),INDEX(C40:N40&gt;0,0),0)),"none in 12 months")</f>
        <v>none in 12 months</v>
      </c>
    </row>
    <row r="54" customFormat="false" ht="15" hidden="false" customHeight="false" outlineLevel="0" collapsed="false">
      <c r="A54" s="0" t="s">
        <v>132</v>
      </c>
      <c r="B54" s="0" t="n">
        <f aca="false">N40</f>
        <v>-1951.681792</v>
      </c>
    </row>
    <row r="55" customFormat="false" ht="15" hidden="false" customHeight="false" outlineLevel="0" collapsed="false">
      <c r="A55" s="0" t="s">
        <v>133</v>
      </c>
      <c r="B55" s="0" t="n">
        <f aca="false">N33/N20</f>
        <v>-1.16847034920635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5" min="2" style="0" width="11"/>
  </cols>
  <sheetData>
    <row r="1" customFormat="false" ht="1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0" t="s">
        <v>70</v>
      </c>
      <c r="B2" s="2" t="n">
        <v>16</v>
      </c>
    </row>
    <row r="3" customFormat="false" ht="15" hidden="false" customHeight="false" outlineLevel="0" collapsed="false">
      <c r="A3" s="0" t="s">
        <v>71</v>
      </c>
      <c r="B3" s="2" t="n">
        <v>4</v>
      </c>
    </row>
    <row r="4" customFormat="false" ht="15" hidden="false" customHeight="false" outlineLevel="0" collapsed="false">
      <c r="A4" s="0" t="s">
        <v>72</v>
      </c>
      <c r="B4" s="2" t="n">
        <v>8</v>
      </c>
    </row>
    <row r="5" customFormat="false" ht="15" hidden="false" customHeight="false" outlineLevel="0" collapsed="false">
      <c r="A5" s="0" t="s">
        <v>73</v>
      </c>
      <c r="B5" s="2" t="n">
        <v>0.06</v>
      </c>
    </row>
    <row r="6" customFormat="false" ht="15" hidden="false" customHeight="false" outlineLevel="0" collapsed="false">
      <c r="A6" s="0" t="s">
        <v>74</v>
      </c>
      <c r="B6" s="2" t="n">
        <v>0.85</v>
      </c>
    </row>
    <row r="7" customFormat="false" ht="15" hidden="false" customHeight="false" outlineLevel="0" collapsed="false">
      <c r="A7" s="0" t="s">
        <v>75</v>
      </c>
      <c r="B7" s="2" t="n">
        <v>0.03</v>
      </c>
    </row>
    <row r="8" customFormat="false" ht="15" hidden="false" customHeight="false" outlineLevel="0" collapsed="false">
      <c r="A8" s="0" t="s">
        <v>76</v>
      </c>
      <c r="B8" s="2" t="n">
        <v>36</v>
      </c>
    </row>
    <row r="9" customFormat="false" ht="15" hidden="false" customHeight="false" outlineLevel="0" collapsed="false">
      <c r="A9" s="0" t="s">
        <v>77</v>
      </c>
      <c r="B9" s="2" t="n">
        <v>800</v>
      </c>
    </row>
    <row r="10" customFormat="false" ht="15" hidden="false" customHeight="false" outlineLevel="0" collapsed="false">
      <c r="A10" s="0" t="s">
        <v>78</v>
      </c>
      <c r="B10" s="2" t="n">
        <v>2</v>
      </c>
    </row>
    <row r="12" customFormat="false" ht="15" hidden="false" customHeight="false" outlineLevel="0" collapsed="false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1" t="s">
        <v>87</v>
      </c>
      <c r="J12" s="1" t="s">
        <v>88</v>
      </c>
      <c r="K12" s="1" t="s">
        <v>89</v>
      </c>
      <c r="L12" s="1" t="s">
        <v>90</v>
      </c>
      <c r="M12" s="1" t="s">
        <v>91</v>
      </c>
      <c r="N12" s="1" t="s">
        <v>92</v>
      </c>
      <c r="O12" s="1" t="s">
        <v>93</v>
      </c>
    </row>
    <row r="13" customFormat="false" ht="15" hidden="false" customHeight="false" outlineLevel="0" collapsed="false">
      <c r="A13" s="0" t="s">
        <v>94</v>
      </c>
      <c r="B13" s="0" t="n">
        <v>0</v>
      </c>
      <c r="C13" s="0" t="n">
        <v>1</v>
      </c>
      <c r="D13" s="0" t="n">
        <v>2</v>
      </c>
      <c r="E13" s="0" t="n">
        <v>3</v>
      </c>
      <c r="F13" s="0" t="n">
        <v>4</v>
      </c>
      <c r="G13" s="0" t="n">
        <v>5</v>
      </c>
      <c r="H13" s="0" t="n">
        <v>6</v>
      </c>
      <c r="I13" s="0" t="n">
        <v>7</v>
      </c>
      <c r="J13" s="0" t="n">
        <v>8</v>
      </c>
      <c r="K13" s="0" t="n">
        <v>9</v>
      </c>
      <c r="L13" s="0" t="n">
        <v>10</v>
      </c>
      <c r="M13" s="0" t="n">
        <v>11</v>
      </c>
      <c r="N13" s="0" t="n">
        <v>12</v>
      </c>
    </row>
    <row r="14" customFormat="false" ht="15" hidden="false" customHeight="false" outlineLevel="0" collapsed="false">
      <c r="A14" s="0" t="s">
        <v>95</v>
      </c>
      <c r="C14" s="0" t="s">
        <v>57</v>
      </c>
      <c r="D14" s="0" t="s">
        <v>58</v>
      </c>
      <c r="E14" s="0" t="s">
        <v>59</v>
      </c>
      <c r="F14" s="0" t="s">
        <v>60</v>
      </c>
      <c r="G14" s="0" t="s">
        <v>61</v>
      </c>
      <c r="H14" s="0" t="s">
        <v>62</v>
      </c>
      <c r="I14" s="0" t="s">
        <v>63</v>
      </c>
      <c r="J14" s="0" t="s">
        <v>64</v>
      </c>
      <c r="K14" s="0" t="s">
        <v>65</v>
      </c>
      <c r="L14" s="0" t="s">
        <v>66</v>
      </c>
      <c r="M14" s="0" t="s">
        <v>67</v>
      </c>
      <c r="N14" s="0" t="s">
        <v>68</v>
      </c>
    </row>
    <row r="15" customFormat="false" ht="15" hidden="false" customHeight="false" outlineLevel="0" collapsed="false">
      <c r="A15" s="0" t="s">
        <v>96</v>
      </c>
      <c r="C15" s="0" t="n">
        <f aca="false">Assumptions!$B$38</f>
        <v>1</v>
      </c>
      <c r="D15" s="0" t="n">
        <f aca="false">Assumptions!$B$39</f>
        <v>1.1</v>
      </c>
      <c r="E15" s="0" t="n">
        <f aca="false">Assumptions!$B$40</f>
        <v>1.1</v>
      </c>
      <c r="F15" s="0" t="n">
        <f aca="false">Assumptions!$B$41</f>
        <v>1.1</v>
      </c>
      <c r="G15" s="0" t="n">
        <f aca="false">Assumptions!$B$42</f>
        <v>0.9</v>
      </c>
      <c r="H15" s="0" t="n">
        <f aca="false">Assumptions!$B$43</f>
        <v>0.7</v>
      </c>
      <c r="I15" s="0" t="n">
        <f aca="false">Assumptions!$B$44</f>
        <v>0.6</v>
      </c>
      <c r="J15" s="0" t="n">
        <f aca="false">Assumptions!$B$45</f>
        <v>0.7</v>
      </c>
      <c r="K15" s="0" t="n">
        <f aca="false">Assumptions!$B$46</f>
        <v>0.7</v>
      </c>
      <c r="L15" s="0" t="n">
        <f aca="false">Assumptions!$B$47</f>
        <v>0.5</v>
      </c>
      <c r="M15" s="0" t="n">
        <f aca="false">Assumptions!$B$48</f>
        <v>0.5</v>
      </c>
      <c r="N15" s="0" t="n">
        <f aca="false">Assumptions!$B$49</f>
        <v>0.7</v>
      </c>
    </row>
    <row r="16" customFormat="false" ht="15" hidden="false" customHeight="false" outlineLevel="0" collapsed="false">
      <c r="A16" s="0" t="s">
        <v>97</v>
      </c>
      <c r="C16" s="2" t="n">
        <v>1</v>
      </c>
      <c r="D16" s="2" t="n">
        <v>0</v>
      </c>
      <c r="E16" s="2" t="n">
        <v>0</v>
      </c>
      <c r="F16" s="2" t="n">
        <v>1</v>
      </c>
      <c r="G16" s="2" t="n">
        <v>0</v>
      </c>
      <c r="H16" s="2" t="n">
        <v>0</v>
      </c>
      <c r="I16" s="2" t="n">
        <v>2</v>
      </c>
      <c r="J16" s="2" t="n">
        <v>0</v>
      </c>
      <c r="K16" s="2" t="n">
        <v>0</v>
      </c>
      <c r="L16" s="2" t="n">
        <v>2</v>
      </c>
      <c r="M16" s="2" t="n">
        <v>0</v>
      </c>
      <c r="N16" s="2" t="n">
        <v>0</v>
      </c>
    </row>
    <row r="17" customFormat="false" ht="15" hidden="false" customHeight="false" outlineLevel="0" collapsed="false">
      <c r="A17" s="0" t="s">
        <v>98</v>
      </c>
      <c r="B17" s="0" t="n">
        <v>0</v>
      </c>
      <c r="C17" s="0" t="n">
        <f aca="false">B17+C16</f>
        <v>1</v>
      </c>
      <c r="D17" s="0" t="n">
        <f aca="false">C17+D16</f>
        <v>1</v>
      </c>
      <c r="E17" s="0" t="n">
        <f aca="false">D17+E16</f>
        <v>1</v>
      </c>
      <c r="F17" s="0" t="n">
        <f aca="false">E17+F16</f>
        <v>2</v>
      </c>
      <c r="G17" s="0" t="n">
        <f aca="false">F17+G16</f>
        <v>2</v>
      </c>
      <c r="H17" s="0" t="n">
        <f aca="false">G17+H16</f>
        <v>2</v>
      </c>
      <c r="I17" s="0" t="n">
        <f aca="false">H17+I16</f>
        <v>4</v>
      </c>
      <c r="J17" s="0" t="n">
        <f aca="false">I17+J16</f>
        <v>4</v>
      </c>
      <c r="K17" s="0" t="n">
        <f aca="false">J17+K16</f>
        <v>4</v>
      </c>
      <c r="L17" s="0" t="n">
        <f aca="false">K17+L16</f>
        <v>6</v>
      </c>
      <c r="M17" s="0" t="n">
        <f aca="false">L17+M16</f>
        <v>6</v>
      </c>
      <c r="N17" s="0" t="n">
        <f aca="false">M17+N16</f>
        <v>6</v>
      </c>
    </row>
    <row r="18" customFormat="false" ht="15" hidden="false" customHeight="false" outlineLevel="0" collapsed="false">
      <c r="A18" s="0" t="s">
        <v>99</v>
      </c>
      <c r="C18" s="0" t="n">
        <f aca="false">SUMPRODUCT($C$16:C16,(C$13-$C$13:C$13+1+$B$3-ABS(C$13-$C$13:C$13+1-$B$3))/(2*$B$3))</f>
        <v>0.25</v>
      </c>
      <c r="D18" s="0" t="n">
        <f aca="false">SUMPRODUCT($C$16:D16,(D$13-$C$13:D$13+1+$B$3-ABS(D$13-$C$13:D$13+1-$B$3))/(2*$B$3))</f>
        <v>0.5</v>
      </c>
      <c r="E18" s="0" t="n">
        <f aca="false">SUMPRODUCT($C$16:E16,(E$13-$C$13:E$13+1+$B$3-ABS(E$13-$C$13:E$13+1-$B$3))/(2*$B$3))</f>
        <v>0.75</v>
      </c>
      <c r="F18" s="0" t="n">
        <f aca="false">SUMPRODUCT($C$16:F16,(F$13-$C$13:F$13+1+$B$3-ABS(F$13-$C$13:F$13+1-$B$3))/(2*$B$3))</f>
        <v>1.25</v>
      </c>
      <c r="G18" s="0" t="n">
        <f aca="false">SUMPRODUCT($C$16:G16,(G$13-$C$13:G$13+1+$B$3-ABS(G$13-$C$13:G$13+1-$B$3))/(2*$B$3))</f>
        <v>1.5</v>
      </c>
      <c r="H18" s="0" t="n">
        <f aca="false">SUMPRODUCT($C$16:H16,(H$13-$C$13:H$13+1+$B$3-ABS(H$13-$C$13:H$13+1-$B$3))/(2*$B$3))</f>
        <v>1.75</v>
      </c>
      <c r="I18" s="0" t="n">
        <f aca="false">SUMPRODUCT($C$16:I16,(I$13-$C$13:I$13+1+$B$3-ABS(I$13-$C$13:I$13+1-$B$3))/(2*$B$3))</f>
        <v>2.5</v>
      </c>
      <c r="J18" s="0" t="n">
        <f aca="false">SUMPRODUCT($C$16:J16,(J$13-$C$13:J$13+1+$B$3-ABS(J$13-$C$13:J$13+1-$B$3))/(2*$B$3))</f>
        <v>3</v>
      </c>
      <c r="K18" s="0" t="n">
        <f aca="false">SUMPRODUCT($C$16:K16,(K$13-$C$13:K$13+1+$B$3-ABS(K$13-$C$13:K$13+1-$B$3))/(2*$B$3))</f>
        <v>3.5</v>
      </c>
      <c r="L18" s="0" t="n">
        <f aca="false">SUMPRODUCT($C$16:L16,(L$13-$C$13:L$13+1+$B$3-ABS(L$13-$C$13:L$13+1-$B$3))/(2*$B$3))</f>
        <v>4.5</v>
      </c>
      <c r="M18" s="0" t="n">
        <f aca="false">SUMPRODUCT($C$16:M16,(M$13-$C$13:M$13+1+$B$3-ABS(M$13-$C$13:M$13+1-$B$3))/(2*$B$3))</f>
        <v>5</v>
      </c>
      <c r="N18" s="0" t="n">
        <f aca="false">SUMPRODUCT($C$16:N16,(N$13-$C$13:N$13+1+$B$3-ABS(N$13-$C$13:N$13+1-$B$3))/(2*$B$3))</f>
        <v>5.5</v>
      </c>
    </row>
    <row r="19" customFormat="false" ht="15" hidden="false" customHeight="false" outlineLevel="0" collapsed="false">
      <c r="A19" s="0" t="s">
        <v>100</v>
      </c>
      <c r="C19" s="0" t="n">
        <f aca="false">C18*$B$2*C15</f>
        <v>4</v>
      </c>
      <c r="D19" s="0" t="n">
        <f aca="false">D18*$B$2*D15</f>
        <v>8.8</v>
      </c>
      <c r="E19" s="0" t="n">
        <f aca="false">E18*$B$2*E15</f>
        <v>13.2</v>
      </c>
      <c r="F19" s="0" t="n">
        <f aca="false">F18*$B$2*F15</f>
        <v>22</v>
      </c>
      <c r="G19" s="0" t="n">
        <f aca="false">G18*$B$2*G15</f>
        <v>21.6</v>
      </c>
      <c r="H19" s="0" t="n">
        <f aca="false">H18*$B$2*H15</f>
        <v>19.6</v>
      </c>
      <c r="I19" s="0" t="n">
        <f aca="false">I18*$B$2*I15</f>
        <v>24</v>
      </c>
      <c r="J19" s="0" t="n">
        <f aca="false">J18*$B$2*J15</f>
        <v>33.6</v>
      </c>
      <c r="K19" s="0" t="n">
        <f aca="false">K18*$B$2*K15</f>
        <v>39.2</v>
      </c>
      <c r="L19" s="0" t="n">
        <f aca="false">L18*$B$2*L15</f>
        <v>36</v>
      </c>
      <c r="M19" s="0" t="n">
        <f aca="false">M18*$B$2*M15</f>
        <v>40</v>
      </c>
      <c r="N19" s="0" t="n">
        <f aca="false">N18*$B$2*N15</f>
        <v>61.6</v>
      </c>
    </row>
    <row r="20" customFormat="false" ht="15" hidden="false" customHeight="false" outlineLevel="0" collapsed="false">
      <c r="A20" s="0" t="s">
        <v>101</v>
      </c>
      <c r="C20" s="0" t="n">
        <f aca="false">C19*Assumptions!$B$19</f>
        <v>120</v>
      </c>
      <c r="D20" s="0" t="n">
        <f aca="false">D19*Assumptions!$B$19</f>
        <v>264</v>
      </c>
      <c r="E20" s="0" t="n">
        <f aca="false">E19*Assumptions!$B$19</f>
        <v>396</v>
      </c>
      <c r="F20" s="0" t="n">
        <f aca="false">F19*Assumptions!$B$19</f>
        <v>660</v>
      </c>
      <c r="G20" s="0" t="n">
        <f aca="false">G19*Assumptions!$B$19</f>
        <v>648</v>
      </c>
      <c r="H20" s="0" t="n">
        <f aca="false">H19*Assumptions!$B$19</f>
        <v>588</v>
      </c>
      <c r="I20" s="0" t="n">
        <f aca="false">I19*Assumptions!$B$19</f>
        <v>720</v>
      </c>
      <c r="J20" s="0" t="n">
        <f aca="false">J19*Assumptions!$B$19</f>
        <v>1008</v>
      </c>
      <c r="K20" s="0" t="n">
        <f aca="false">K19*Assumptions!$B$19</f>
        <v>1176</v>
      </c>
      <c r="L20" s="0" t="n">
        <f aca="false">L19*Assumptions!$B$19</f>
        <v>1080</v>
      </c>
      <c r="M20" s="0" t="n">
        <f aca="false">M19*Assumptions!$B$19</f>
        <v>1200</v>
      </c>
      <c r="N20" s="0" t="n">
        <f aca="false">N19*Assumptions!$B$19</f>
        <v>1848</v>
      </c>
      <c r="O20" s="0" t="n">
        <f aca="false">SUM(B20:N20)</f>
        <v>9708</v>
      </c>
    </row>
    <row r="21" customFormat="false" ht="15" hidden="false" customHeight="false" outlineLevel="0" collapsed="false">
      <c r="A21" s="0" t="s">
        <v>102</v>
      </c>
      <c r="C21" s="0" t="n">
        <f aca="false">C20*$B$4*(1-$B$5)</f>
        <v>902.4</v>
      </c>
      <c r="D21" s="0" t="n">
        <f aca="false">D20*$B$4*(1-$B$5)</f>
        <v>1985.28</v>
      </c>
      <c r="E21" s="0" t="n">
        <f aca="false">E20*$B$4*(1-$B$5)</f>
        <v>2977.92</v>
      </c>
      <c r="F21" s="0" t="n">
        <f aca="false">F20*$B$4*(1-$B$5)</f>
        <v>4963.2</v>
      </c>
      <c r="G21" s="0" t="n">
        <f aca="false">G20*$B$4*(1-$B$5)</f>
        <v>4872.96</v>
      </c>
      <c r="H21" s="0" t="n">
        <f aca="false">H20*$B$4*(1-$B$5)</f>
        <v>4421.76</v>
      </c>
      <c r="I21" s="0" t="n">
        <f aca="false">I20*$B$4*(1-$B$5)</f>
        <v>5414.4</v>
      </c>
      <c r="J21" s="0" t="n">
        <f aca="false">J20*$B$4*(1-$B$5)</f>
        <v>7580.16</v>
      </c>
      <c r="K21" s="0" t="n">
        <f aca="false">K20*$B$4*(1-$B$5)</f>
        <v>8843.52</v>
      </c>
      <c r="L21" s="0" t="n">
        <f aca="false">L20*$B$4*(1-$B$5)</f>
        <v>8121.6</v>
      </c>
      <c r="M21" s="0" t="n">
        <f aca="false">M20*$B$4*(1-$B$5)</f>
        <v>9024</v>
      </c>
      <c r="N21" s="0" t="n">
        <f aca="false">N20*$B$4*(1-$B$5)</f>
        <v>13896.96</v>
      </c>
      <c r="O21" s="0" t="n">
        <f aca="false">SUM(B21:N21)</f>
        <v>73004.16</v>
      </c>
    </row>
    <row r="22" customFormat="false" ht="15" hidden="false" customHeight="false" outlineLevel="0" collapsed="false">
      <c r="A22" s="0" t="s">
        <v>103</v>
      </c>
      <c r="C22" s="0" t="n">
        <f aca="false">C20*$B$10</f>
        <v>240</v>
      </c>
      <c r="D22" s="0" t="n">
        <f aca="false">D20*$B$10</f>
        <v>528</v>
      </c>
      <c r="E22" s="0" t="n">
        <f aca="false">E20*$B$10</f>
        <v>792</v>
      </c>
      <c r="F22" s="0" t="n">
        <f aca="false">F20*$B$10</f>
        <v>1320</v>
      </c>
      <c r="G22" s="0" t="n">
        <f aca="false">G20*$B$10</f>
        <v>1296</v>
      </c>
      <c r="H22" s="0" t="n">
        <f aca="false">H20*$B$10</f>
        <v>1176</v>
      </c>
      <c r="I22" s="0" t="n">
        <f aca="false">I20*$B$10</f>
        <v>1440</v>
      </c>
      <c r="J22" s="0" t="n">
        <f aca="false">J20*$B$10</f>
        <v>2016</v>
      </c>
      <c r="K22" s="0" t="n">
        <f aca="false">K20*$B$10</f>
        <v>2352</v>
      </c>
      <c r="L22" s="0" t="n">
        <f aca="false">L20*$B$10</f>
        <v>2160</v>
      </c>
      <c r="M22" s="0" t="n">
        <f aca="false">M20*$B$10</f>
        <v>2400</v>
      </c>
      <c r="N22" s="0" t="n">
        <f aca="false">N20*$B$10</f>
        <v>3696</v>
      </c>
      <c r="O22" s="0" t="n">
        <f aca="false">SUM(B22:N22)</f>
        <v>19416</v>
      </c>
    </row>
    <row r="23" customFormat="false" ht="15" hidden="false" customHeight="false" outlineLevel="0" collapsed="false">
      <c r="A23" s="1" t="s">
        <v>104</v>
      </c>
      <c r="C23" s="3" t="n">
        <f aca="false">C21+C22</f>
        <v>1142.4</v>
      </c>
      <c r="D23" s="3" t="n">
        <f aca="false">D21+D22</f>
        <v>2513.28</v>
      </c>
      <c r="E23" s="3" t="n">
        <f aca="false">E21+E22</f>
        <v>3769.92</v>
      </c>
      <c r="F23" s="3" t="n">
        <f aca="false">F21+F22</f>
        <v>6283.2</v>
      </c>
      <c r="G23" s="3" t="n">
        <f aca="false">G21+G22</f>
        <v>6168.96</v>
      </c>
      <c r="H23" s="3" t="n">
        <f aca="false">H21+H22</f>
        <v>5597.76</v>
      </c>
      <c r="I23" s="3" t="n">
        <f aca="false">I21+I22</f>
        <v>6854.4</v>
      </c>
      <c r="J23" s="3" t="n">
        <f aca="false">J21+J22</f>
        <v>9596.16</v>
      </c>
      <c r="K23" s="3" t="n">
        <f aca="false">K21+K22</f>
        <v>11195.52</v>
      </c>
      <c r="L23" s="3" t="n">
        <f aca="false">L21+L22</f>
        <v>10281.6</v>
      </c>
      <c r="M23" s="3" t="n">
        <f aca="false">M21+M22</f>
        <v>11424</v>
      </c>
      <c r="N23" s="3" t="n">
        <f aca="false">N21+N22</f>
        <v>17592.96</v>
      </c>
      <c r="O23" s="3" t="n">
        <f aca="false">SUM(B23:N23)</f>
        <v>92420.16</v>
      </c>
    </row>
    <row r="24" customFormat="false" ht="15" hidden="false" customHeight="false" outlineLevel="0" collapsed="false">
      <c r="A24" s="0" t="s">
        <v>105</v>
      </c>
      <c r="C24" s="0" t="n">
        <f aca="false">C20*Assumptions!$B$4*$B$6</f>
        <v>122.4</v>
      </c>
      <c r="D24" s="0" t="n">
        <f aca="false">D20*Assumptions!$B$4*$B$6</f>
        <v>269.28</v>
      </c>
      <c r="E24" s="0" t="n">
        <f aca="false">E20*Assumptions!$B$4*$B$6</f>
        <v>403.92</v>
      </c>
      <c r="F24" s="0" t="n">
        <f aca="false">F20*Assumptions!$B$4*$B$6</f>
        <v>673.2</v>
      </c>
      <c r="G24" s="0" t="n">
        <f aca="false">G20*Assumptions!$B$4*$B$6</f>
        <v>660.96</v>
      </c>
      <c r="H24" s="0" t="n">
        <f aca="false">H20*Assumptions!$B$4*$B$6</f>
        <v>599.76</v>
      </c>
      <c r="I24" s="0" t="n">
        <f aca="false">I20*Assumptions!$B$4*$B$6</f>
        <v>734.4</v>
      </c>
      <c r="J24" s="0" t="n">
        <f aca="false">J20*Assumptions!$B$4*$B$6</f>
        <v>1028.16</v>
      </c>
      <c r="K24" s="0" t="n">
        <f aca="false">K20*Assumptions!$B$4*$B$6</f>
        <v>1199.52</v>
      </c>
      <c r="L24" s="0" t="n">
        <f aca="false">L20*Assumptions!$B$4*$B$6</f>
        <v>1101.6</v>
      </c>
      <c r="M24" s="0" t="n">
        <f aca="false">M20*Assumptions!$B$4*$B$6</f>
        <v>1224</v>
      </c>
      <c r="N24" s="0" t="n">
        <f aca="false">N20*Assumptions!$B$4*$B$6</f>
        <v>1884.96</v>
      </c>
      <c r="O24" s="0" t="n">
        <f aca="false">SUM(B24:N24)</f>
        <v>9902.16</v>
      </c>
    </row>
    <row r="25" customFormat="false" ht="15" hidden="false" customHeight="false" outlineLevel="0" collapsed="false">
      <c r="A25" s="0" t="s">
        <v>106</v>
      </c>
      <c r="C25" s="0" t="n">
        <f aca="false">C20*Assumptions!$B$5</f>
        <v>30</v>
      </c>
      <c r="D25" s="0" t="n">
        <f aca="false">D20*Assumptions!$B$5</f>
        <v>66</v>
      </c>
      <c r="E25" s="0" t="n">
        <f aca="false">E20*Assumptions!$B$5</f>
        <v>99</v>
      </c>
      <c r="F25" s="0" t="n">
        <f aca="false">F20*Assumptions!$B$5</f>
        <v>165</v>
      </c>
      <c r="G25" s="0" t="n">
        <f aca="false">G20*Assumptions!$B$5</f>
        <v>162</v>
      </c>
      <c r="H25" s="0" t="n">
        <f aca="false">H20*Assumptions!$B$5</f>
        <v>147</v>
      </c>
      <c r="I25" s="0" t="n">
        <f aca="false">I20*Assumptions!$B$5</f>
        <v>180</v>
      </c>
      <c r="J25" s="0" t="n">
        <f aca="false">J20*Assumptions!$B$5</f>
        <v>252</v>
      </c>
      <c r="K25" s="0" t="n">
        <f aca="false">K20*Assumptions!$B$5</f>
        <v>294</v>
      </c>
      <c r="L25" s="0" t="n">
        <f aca="false">L20*Assumptions!$B$5</f>
        <v>270</v>
      </c>
      <c r="M25" s="0" t="n">
        <f aca="false">M20*Assumptions!$B$5</f>
        <v>300</v>
      </c>
      <c r="N25" s="0" t="n">
        <f aca="false">N20*Assumptions!$B$5</f>
        <v>462</v>
      </c>
      <c r="O25" s="0" t="n">
        <f aca="false">SUM(B25:N25)</f>
        <v>2427</v>
      </c>
    </row>
    <row r="26" customFormat="false" ht="15" hidden="false" customHeight="false" outlineLevel="0" collapsed="false">
      <c r="A26" s="0" t="s">
        <v>107</v>
      </c>
      <c r="C26" s="0" t="n">
        <f aca="false">Assumptions!$B$6*(Assumptions!$B$7*C23+Assumptions!$B$8*C20)</f>
        <v>76.4064</v>
      </c>
      <c r="D26" s="0" t="n">
        <f aca="false">Assumptions!$B$6*(Assumptions!$B$7*D23+Assumptions!$B$8*D20)</f>
        <v>168.09408</v>
      </c>
      <c r="E26" s="0" t="n">
        <f aca="false">Assumptions!$B$6*(Assumptions!$B$7*E23+Assumptions!$B$8*E20)</f>
        <v>252.14112</v>
      </c>
      <c r="F26" s="0" t="n">
        <f aca="false">Assumptions!$B$6*(Assumptions!$B$7*F23+Assumptions!$B$8*F20)</f>
        <v>420.2352</v>
      </c>
      <c r="G26" s="0" t="n">
        <f aca="false">Assumptions!$B$6*(Assumptions!$B$7*G23+Assumptions!$B$8*G20)</f>
        <v>412.59456</v>
      </c>
      <c r="H26" s="0" t="n">
        <f aca="false">Assumptions!$B$6*(Assumptions!$B$7*H23+Assumptions!$B$8*H20)</f>
        <v>374.39136</v>
      </c>
      <c r="I26" s="0" t="n">
        <f aca="false">Assumptions!$B$6*(Assumptions!$B$7*I23+Assumptions!$B$8*I20)</f>
        <v>458.4384</v>
      </c>
      <c r="J26" s="0" t="n">
        <f aca="false">Assumptions!$B$6*(Assumptions!$B$7*J23+Assumptions!$B$8*J20)</f>
        <v>641.81376</v>
      </c>
      <c r="K26" s="0" t="n">
        <f aca="false">Assumptions!$B$6*(Assumptions!$B$7*K23+Assumptions!$B$8*K20)</f>
        <v>748.78272</v>
      </c>
      <c r="L26" s="0" t="n">
        <f aca="false">Assumptions!$B$6*(Assumptions!$B$7*L23+Assumptions!$B$8*L20)</f>
        <v>687.6576</v>
      </c>
      <c r="M26" s="0" t="n">
        <f aca="false">Assumptions!$B$6*(Assumptions!$B$7*M23+Assumptions!$B$8*M20)</f>
        <v>764.064</v>
      </c>
      <c r="N26" s="0" t="n">
        <f aca="false">Assumptions!$B$6*(Assumptions!$B$7*N23+Assumptions!$B$8*N20)</f>
        <v>1176.65856</v>
      </c>
      <c r="O26" s="0" t="n">
        <f aca="false">SUM(B26:N26)</f>
        <v>6181.27776</v>
      </c>
    </row>
    <row r="27" customFormat="false" ht="15" hidden="false" customHeight="false" outlineLevel="0" collapsed="false">
      <c r="A27" s="0" t="s">
        <v>108</v>
      </c>
      <c r="C27" s="0" t="n">
        <f aca="false">(1-Assumptions!$B$6)*Assumptions!$B$9*C23</f>
        <v>6.8544</v>
      </c>
      <c r="D27" s="0" t="n">
        <f aca="false">(1-Assumptions!$B$6)*Assumptions!$B$9*D23</f>
        <v>15.07968</v>
      </c>
      <c r="E27" s="0" t="n">
        <f aca="false">(1-Assumptions!$B$6)*Assumptions!$B$9*E23</f>
        <v>22.61952</v>
      </c>
      <c r="F27" s="0" t="n">
        <f aca="false">(1-Assumptions!$B$6)*Assumptions!$B$9*F23</f>
        <v>37.6992</v>
      </c>
      <c r="G27" s="0" t="n">
        <f aca="false">(1-Assumptions!$B$6)*Assumptions!$B$9*G23</f>
        <v>37.01376</v>
      </c>
      <c r="H27" s="0" t="n">
        <f aca="false">(1-Assumptions!$B$6)*Assumptions!$B$9*H23</f>
        <v>33.58656</v>
      </c>
      <c r="I27" s="0" t="n">
        <f aca="false">(1-Assumptions!$B$6)*Assumptions!$B$9*I23</f>
        <v>41.1264</v>
      </c>
      <c r="J27" s="0" t="n">
        <f aca="false">(1-Assumptions!$B$6)*Assumptions!$B$9*J23</f>
        <v>57.57696</v>
      </c>
      <c r="K27" s="0" t="n">
        <f aca="false">(1-Assumptions!$B$6)*Assumptions!$B$9*K23</f>
        <v>67.17312</v>
      </c>
      <c r="L27" s="0" t="n">
        <f aca="false">(1-Assumptions!$B$6)*Assumptions!$B$9*L23</f>
        <v>61.6896</v>
      </c>
      <c r="M27" s="0" t="n">
        <f aca="false">(1-Assumptions!$B$6)*Assumptions!$B$9*M23</f>
        <v>68.544</v>
      </c>
      <c r="N27" s="0" t="n">
        <f aca="false">(1-Assumptions!$B$6)*Assumptions!$B$9*N23</f>
        <v>105.55776</v>
      </c>
      <c r="O27" s="0" t="n">
        <f aca="false">SUM(B27:N27)</f>
        <v>554.52096</v>
      </c>
    </row>
    <row r="28" customFormat="false" ht="15" hidden="false" customHeight="false" outlineLevel="0" collapsed="false">
      <c r="A28" s="0" t="s">
        <v>109</v>
      </c>
      <c r="C28" s="0" t="n">
        <f aca="false">$B$7*C23</f>
        <v>34.272</v>
      </c>
      <c r="D28" s="0" t="n">
        <f aca="false">$B$7*D23</f>
        <v>75.3984</v>
      </c>
      <c r="E28" s="0" t="n">
        <f aca="false">$B$7*E23</f>
        <v>113.0976</v>
      </c>
      <c r="F28" s="0" t="n">
        <f aca="false">$B$7*F23</f>
        <v>188.496</v>
      </c>
      <c r="G28" s="0" t="n">
        <f aca="false">$B$7*G23</f>
        <v>185.0688</v>
      </c>
      <c r="H28" s="0" t="n">
        <f aca="false">$B$7*H23</f>
        <v>167.9328</v>
      </c>
      <c r="I28" s="0" t="n">
        <f aca="false">$B$7*I23</f>
        <v>205.632</v>
      </c>
      <c r="J28" s="0" t="n">
        <f aca="false">$B$7*J23</f>
        <v>287.8848</v>
      </c>
      <c r="K28" s="0" t="n">
        <f aca="false">$B$7*K23</f>
        <v>335.8656</v>
      </c>
      <c r="L28" s="0" t="n">
        <f aca="false">$B$7*L23</f>
        <v>308.448</v>
      </c>
      <c r="M28" s="0" t="n">
        <f aca="false">$B$7*M23</f>
        <v>342.72</v>
      </c>
      <c r="N28" s="0" t="n">
        <f aca="false">$B$7*N23</f>
        <v>527.7888</v>
      </c>
      <c r="O28" s="0" t="n">
        <f aca="false">SUM(B28:N28)</f>
        <v>2772.6048</v>
      </c>
    </row>
    <row r="29" customFormat="false" ht="15" hidden="false" customHeight="false" outlineLevel="0" collapsed="false">
      <c r="A29" s="0" t="s">
        <v>110</v>
      </c>
      <c r="C29" s="0" t="n">
        <f aca="false">SUM(C24:C28)</f>
        <v>269.9328</v>
      </c>
      <c r="D29" s="0" t="n">
        <f aca="false">SUM(D24:D28)</f>
        <v>593.85216</v>
      </c>
      <c r="E29" s="0" t="n">
        <f aca="false">SUM(E24:E28)</f>
        <v>890.77824</v>
      </c>
      <c r="F29" s="0" t="n">
        <f aca="false">SUM(F24:F28)</f>
        <v>1484.6304</v>
      </c>
      <c r="G29" s="0" t="n">
        <f aca="false">SUM(G24:G28)</f>
        <v>1457.63712</v>
      </c>
      <c r="H29" s="0" t="n">
        <f aca="false">SUM(H24:H28)</f>
        <v>1322.67072</v>
      </c>
      <c r="I29" s="0" t="n">
        <f aca="false">SUM(I24:I28)</f>
        <v>1619.5968</v>
      </c>
      <c r="J29" s="0" t="n">
        <f aca="false">SUM(J24:J28)</f>
        <v>2267.43552</v>
      </c>
      <c r="K29" s="0" t="n">
        <f aca="false">SUM(K24:K28)</f>
        <v>2645.34144</v>
      </c>
      <c r="L29" s="0" t="n">
        <f aca="false">SUM(L24:L28)</f>
        <v>2429.3952</v>
      </c>
      <c r="M29" s="0" t="n">
        <f aca="false">SUM(M24:M28)</f>
        <v>2699.328</v>
      </c>
      <c r="N29" s="0" t="n">
        <f aca="false">SUM(N24:N28)</f>
        <v>4156.96512</v>
      </c>
      <c r="O29" s="0" t="n">
        <f aca="false">SUM(B29:N29)</f>
        <v>21837.56352</v>
      </c>
    </row>
    <row r="30" customFormat="false" ht="15" hidden="false" customHeight="false" outlineLevel="0" collapsed="false">
      <c r="A30" s="1" t="s">
        <v>111</v>
      </c>
      <c r="C30" s="3" t="n">
        <f aca="false">C23-C29</f>
        <v>872.4672</v>
      </c>
      <c r="D30" s="3" t="n">
        <f aca="false">D23-D29</f>
        <v>1919.42784</v>
      </c>
      <c r="E30" s="3" t="n">
        <f aca="false">E23-E29</f>
        <v>2879.14176</v>
      </c>
      <c r="F30" s="3" t="n">
        <f aca="false">F23-F29</f>
        <v>4798.5696</v>
      </c>
      <c r="G30" s="3" t="n">
        <f aca="false">G23-G29</f>
        <v>4711.32288</v>
      </c>
      <c r="H30" s="3" t="n">
        <f aca="false">H23-H29</f>
        <v>4275.08928</v>
      </c>
      <c r="I30" s="3" t="n">
        <f aca="false">I23-I29</f>
        <v>5234.8032</v>
      </c>
      <c r="J30" s="3" t="n">
        <f aca="false">J23-J29</f>
        <v>7328.72448</v>
      </c>
      <c r="K30" s="3" t="n">
        <f aca="false">K23-K29</f>
        <v>8550.17856</v>
      </c>
      <c r="L30" s="3" t="n">
        <f aca="false">L23-L29</f>
        <v>7852.2048</v>
      </c>
      <c r="M30" s="3" t="n">
        <f aca="false">M23-M29</f>
        <v>8724.672</v>
      </c>
      <c r="N30" s="3" t="n">
        <f aca="false">N23-N29</f>
        <v>13435.99488</v>
      </c>
      <c r="O30" s="3" t="n">
        <f aca="false">SUM(B30:N30)</f>
        <v>70582.59648</v>
      </c>
    </row>
    <row r="31" customFormat="false" ht="15" hidden="false" customHeight="false" outlineLevel="0" collapsed="false">
      <c r="A31" s="0" t="s">
        <v>112</v>
      </c>
      <c r="C31" s="0" t="n">
        <f aca="false">IF(C17=0,0,MAX(1,ROUNDUP(C19/C17/Assumptions!$B$10,0)))</f>
        <v>1</v>
      </c>
      <c r="D31" s="0" t="n">
        <f aca="false">IF(D17=0,0,MAX(1,ROUNDUP(D19/D17/Assumptions!$B$10,0)))</f>
        <v>1</v>
      </c>
      <c r="E31" s="0" t="n">
        <f aca="false">IF(E17=0,0,MAX(1,ROUNDUP(E19/E17/Assumptions!$B$10,0)))</f>
        <v>1</v>
      </c>
      <c r="F31" s="0" t="n">
        <f aca="false">IF(F17=0,0,MAX(1,ROUNDUP(F19/F17/Assumptions!$B$10,0)))</f>
        <v>1</v>
      </c>
      <c r="G31" s="0" t="n">
        <f aca="false">IF(G17=0,0,MAX(1,ROUNDUP(G19/G17/Assumptions!$B$10,0)))</f>
        <v>1</v>
      </c>
      <c r="H31" s="0" t="n">
        <f aca="false">IF(H17=0,0,MAX(1,ROUNDUP(H19/H17/Assumptions!$B$10,0)))</f>
        <v>1</v>
      </c>
      <c r="I31" s="0" t="n">
        <f aca="false">IF(I17=0,0,MAX(1,ROUNDUP(I19/I17/Assumptions!$B$10,0)))</f>
        <v>1</v>
      </c>
      <c r="J31" s="0" t="n">
        <f aca="false">IF(J17=0,0,MAX(1,ROUNDUP(J19/J17/Assumptions!$B$10,0)))</f>
        <v>1</v>
      </c>
      <c r="K31" s="0" t="n">
        <f aca="false">IF(K17=0,0,MAX(1,ROUNDUP(K19/K17/Assumptions!$B$10,0)))</f>
        <v>1</v>
      </c>
      <c r="L31" s="0" t="n">
        <f aca="false">IF(L17=0,0,MAX(1,ROUNDUP(L19/L17/Assumptions!$B$10,0)))</f>
        <v>1</v>
      </c>
      <c r="M31" s="0" t="n">
        <f aca="false">IF(M17=0,0,MAX(1,ROUNDUP(M19/M17/Assumptions!$B$10,0)))</f>
        <v>1</v>
      </c>
      <c r="N31" s="0" t="n">
        <f aca="false">IF(N17=0,0,MAX(1,ROUNDUP(N19/N17/Assumptions!$B$10,0)))</f>
        <v>1</v>
      </c>
    </row>
    <row r="32" customFormat="false" ht="15" hidden="false" customHeight="false" outlineLevel="0" collapsed="false">
      <c r="A32" s="0" t="s">
        <v>113</v>
      </c>
      <c r="C32" s="0" t="n">
        <f aca="false">C17*C31*$B$8*Assumptions!$B$19+C20*Assumptions!$B$11</f>
        <v>1200</v>
      </c>
      <c r="D32" s="0" t="n">
        <f aca="false">D17*D31*$B$8*Assumptions!$B$19+D20*Assumptions!$B$11</f>
        <v>1344</v>
      </c>
      <c r="E32" s="0" t="n">
        <f aca="false">E17*E31*$B$8*Assumptions!$B$19+E20*Assumptions!$B$11</f>
        <v>1476</v>
      </c>
      <c r="F32" s="0" t="n">
        <f aca="false">F17*F31*$B$8*Assumptions!$B$19+F20*Assumptions!$B$11</f>
        <v>2820</v>
      </c>
      <c r="G32" s="0" t="n">
        <f aca="false">G17*G31*$B$8*Assumptions!$B$19+G20*Assumptions!$B$11</f>
        <v>2808</v>
      </c>
      <c r="H32" s="0" t="n">
        <f aca="false">H17*H31*$B$8*Assumptions!$B$19+H20*Assumptions!$B$11</f>
        <v>2748</v>
      </c>
      <c r="I32" s="0" t="n">
        <f aca="false">I17*I31*$B$8*Assumptions!$B$19+I20*Assumptions!$B$11</f>
        <v>5040</v>
      </c>
      <c r="J32" s="0" t="n">
        <f aca="false">J17*J31*$B$8*Assumptions!$B$19+J20*Assumptions!$B$11</f>
        <v>5328</v>
      </c>
      <c r="K32" s="0" t="n">
        <f aca="false">K17*K31*$B$8*Assumptions!$B$19+K20*Assumptions!$B$11</f>
        <v>5496</v>
      </c>
      <c r="L32" s="0" t="n">
        <f aca="false">L17*L31*$B$8*Assumptions!$B$19+L20*Assumptions!$B$11</f>
        <v>7560</v>
      </c>
      <c r="M32" s="0" t="n">
        <f aca="false">M17*M31*$B$8*Assumptions!$B$19+M20*Assumptions!$B$11</f>
        <v>7680</v>
      </c>
      <c r="N32" s="0" t="n">
        <f aca="false">N17*N31*$B$8*Assumptions!$B$19+N20*Assumptions!$B$11</f>
        <v>8328</v>
      </c>
      <c r="O32" s="0" t="n">
        <f aca="false">SUM(B32:N32)</f>
        <v>51828</v>
      </c>
    </row>
    <row r="33" customFormat="false" ht="15" hidden="false" customHeight="false" outlineLevel="0" collapsed="false">
      <c r="A33" s="1" t="s">
        <v>114</v>
      </c>
      <c r="C33" s="3" t="n">
        <f aca="false">C30-C32</f>
        <v>-327.5328</v>
      </c>
      <c r="D33" s="3" t="n">
        <f aca="false">D30-D32</f>
        <v>575.42784</v>
      </c>
      <c r="E33" s="3" t="n">
        <f aca="false">E30-E32</f>
        <v>1403.14176</v>
      </c>
      <c r="F33" s="3" t="n">
        <f aca="false">F30-F32</f>
        <v>1978.5696</v>
      </c>
      <c r="G33" s="3" t="n">
        <f aca="false">G30-G32</f>
        <v>1903.32288</v>
      </c>
      <c r="H33" s="3" t="n">
        <f aca="false">H30-H32</f>
        <v>1527.08928</v>
      </c>
      <c r="I33" s="3" t="n">
        <f aca="false">I30-I32</f>
        <v>194.803199999999</v>
      </c>
      <c r="J33" s="3" t="n">
        <f aca="false">J30-J32</f>
        <v>2000.72448</v>
      </c>
      <c r="K33" s="3" t="n">
        <f aca="false">K30-K32</f>
        <v>3054.17856</v>
      </c>
      <c r="L33" s="3" t="n">
        <f aca="false">L30-L32</f>
        <v>292.204799999999</v>
      </c>
      <c r="M33" s="3" t="n">
        <f aca="false">M30-M32</f>
        <v>1044.672</v>
      </c>
      <c r="N33" s="3" t="n">
        <f aca="false">N30-N32</f>
        <v>5107.99488</v>
      </c>
      <c r="O33" s="3" t="n">
        <f aca="false">SUM(B33:N33)</f>
        <v>18754.59648</v>
      </c>
    </row>
    <row r="34" customFormat="false" ht="15" hidden="false" customHeight="false" outlineLevel="0" collapsed="false">
      <c r="A34" s="0" t="s">
        <v>115</v>
      </c>
      <c r="C34" s="0" t="n">
        <f aca="false">Assumptions!$B$13</f>
        <v>130</v>
      </c>
      <c r="D34" s="0" t="n">
        <f aca="false">Assumptions!$B$13</f>
        <v>130</v>
      </c>
      <c r="E34" s="0" t="n">
        <f aca="false">Assumptions!$B$13</f>
        <v>130</v>
      </c>
      <c r="F34" s="0" t="n">
        <f aca="false">Assumptions!$B$13</f>
        <v>130</v>
      </c>
      <c r="G34" s="0" t="n">
        <f aca="false">Assumptions!$B$13</f>
        <v>130</v>
      </c>
      <c r="H34" s="0" t="n">
        <f aca="false">Assumptions!$B$13</f>
        <v>130</v>
      </c>
      <c r="I34" s="0" t="n">
        <f aca="false">Assumptions!$B$13</f>
        <v>130</v>
      </c>
      <c r="J34" s="0" t="n">
        <f aca="false">Assumptions!$B$13</f>
        <v>130</v>
      </c>
      <c r="K34" s="0" t="n">
        <f aca="false">Assumptions!$B$13</f>
        <v>130</v>
      </c>
      <c r="L34" s="0" t="n">
        <f aca="false">Assumptions!$B$13</f>
        <v>130</v>
      </c>
      <c r="M34" s="0" t="n">
        <f aca="false">Assumptions!$B$13</f>
        <v>130</v>
      </c>
      <c r="N34" s="0" t="n">
        <f aca="false">Assumptions!$B$13</f>
        <v>130</v>
      </c>
      <c r="O34" s="0" t="n">
        <f aca="false">SUM(B34:N34)</f>
        <v>1560</v>
      </c>
    </row>
    <row r="35" customFormat="false" ht="15" hidden="false" customHeight="false" outlineLevel="0" collapsed="false">
      <c r="A35" s="0" t="s">
        <v>116</v>
      </c>
      <c r="C35" s="0" t="n">
        <f aca="false">Assumptions!$B$14+Assumptions!$B$15</f>
        <v>180</v>
      </c>
      <c r="D35" s="0" t="n">
        <f aca="false">Assumptions!$B$14+Assumptions!$B$15</f>
        <v>180</v>
      </c>
      <c r="E35" s="0" t="n">
        <f aca="false">Assumptions!$B$14+Assumptions!$B$15</f>
        <v>180</v>
      </c>
      <c r="F35" s="0" t="n">
        <f aca="false">Assumptions!$B$14+Assumptions!$B$15</f>
        <v>180</v>
      </c>
      <c r="G35" s="0" t="n">
        <f aca="false">Assumptions!$B$14+Assumptions!$B$15</f>
        <v>180</v>
      </c>
      <c r="H35" s="0" t="n">
        <f aca="false">Assumptions!$B$14+Assumptions!$B$15</f>
        <v>180</v>
      </c>
      <c r="I35" s="0" t="n">
        <f aca="false">Assumptions!$B$14+Assumptions!$B$15</f>
        <v>180</v>
      </c>
      <c r="J35" s="0" t="n">
        <f aca="false">Assumptions!$B$14+Assumptions!$B$15</f>
        <v>180</v>
      </c>
      <c r="K35" s="0" t="n">
        <f aca="false">Assumptions!$B$14+Assumptions!$B$15</f>
        <v>180</v>
      </c>
      <c r="L35" s="0" t="n">
        <f aca="false">Assumptions!$B$14+Assumptions!$B$15</f>
        <v>180</v>
      </c>
      <c r="M35" s="0" t="n">
        <f aca="false">Assumptions!$B$14+Assumptions!$B$15</f>
        <v>180</v>
      </c>
      <c r="N35" s="0" t="n">
        <f aca="false">Assumptions!$B$14+Assumptions!$B$15</f>
        <v>180</v>
      </c>
      <c r="O35" s="0" t="n">
        <f aca="false">SUM(B35:N35)</f>
        <v>2160</v>
      </c>
    </row>
    <row r="36" customFormat="false" ht="15" hidden="false" customHeight="false" outlineLevel="0" collapsed="false">
      <c r="A36" s="0" t="s">
        <v>117</v>
      </c>
      <c r="C36" s="0" t="n">
        <f aca="false">C17*Assumptions!$B$16</f>
        <v>25</v>
      </c>
      <c r="D36" s="0" t="n">
        <f aca="false">D17*Assumptions!$B$16</f>
        <v>25</v>
      </c>
      <c r="E36" s="0" t="n">
        <f aca="false">E17*Assumptions!$B$16</f>
        <v>25</v>
      </c>
      <c r="F36" s="0" t="n">
        <f aca="false">F17*Assumptions!$B$16</f>
        <v>50</v>
      </c>
      <c r="G36" s="0" t="n">
        <f aca="false">G17*Assumptions!$B$16</f>
        <v>50</v>
      </c>
      <c r="H36" s="0" t="n">
        <f aca="false">H17*Assumptions!$B$16</f>
        <v>50</v>
      </c>
      <c r="I36" s="0" t="n">
        <f aca="false">I17*Assumptions!$B$16</f>
        <v>100</v>
      </c>
      <c r="J36" s="0" t="n">
        <f aca="false">J17*Assumptions!$B$16</f>
        <v>100</v>
      </c>
      <c r="K36" s="0" t="n">
        <f aca="false">K17*Assumptions!$B$16</f>
        <v>100</v>
      </c>
      <c r="L36" s="0" t="n">
        <f aca="false">L17*Assumptions!$B$16</f>
        <v>150</v>
      </c>
      <c r="M36" s="0" t="n">
        <f aca="false">M17*Assumptions!$B$16</f>
        <v>150</v>
      </c>
      <c r="N36" s="0" t="n">
        <f aca="false">N17*Assumptions!$B$16</f>
        <v>150</v>
      </c>
      <c r="O36" s="0" t="n">
        <f aca="false">SUM(B36:N36)</f>
        <v>975</v>
      </c>
    </row>
    <row r="37" customFormat="false" ht="15" hidden="false" customHeight="false" outlineLevel="0" collapsed="false">
      <c r="A37" s="0" t="s">
        <v>118</v>
      </c>
      <c r="C37" s="0" t="n">
        <f aca="false">IF(C13&gt;=2,ROUNDUP(C17/3,0)*Assumptions!$B$12,0)</f>
        <v>0</v>
      </c>
      <c r="D37" s="0" t="n">
        <f aca="false">IF(D13&gt;=2,ROUNDUP(D17/3,0)*Assumptions!$B$12,0)</f>
        <v>650</v>
      </c>
      <c r="E37" s="0" t="n">
        <f aca="false">IF(E13&gt;=2,ROUNDUP(E17/3,0)*Assumptions!$B$12,0)</f>
        <v>650</v>
      </c>
      <c r="F37" s="0" t="n">
        <f aca="false">IF(F13&gt;=2,ROUNDUP(F17/3,0)*Assumptions!$B$12,0)</f>
        <v>650</v>
      </c>
      <c r="G37" s="0" t="n">
        <f aca="false">IF(G13&gt;=2,ROUNDUP(G17/3,0)*Assumptions!$B$12,0)</f>
        <v>650</v>
      </c>
      <c r="H37" s="0" t="n">
        <f aca="false">IF(H13&gt;=2,ROUNDUP(H17/3,0)*Assumptions!$B$12,0)</f>
        <v>650</v>
      </c>
      <c r="I37" s="0" t="n">
        <f aca="false">IF(I13&gt;=2,ROUNDUP(I17/3,0)*Assumptions!$B$12,0)</f>
        <v>1300</v>
      </c>
      <c r="J37" s="0" t="n">
        <f aca="false">IF(J13&gt;=2,ROUNDUP(J17/3,0)*Assumptions!$B$12,0)</f>
        <v>1300</v>
      </c>
      <c r="K37" s="0" t="n">
        <f aca="false">IF(K13&gt;=2,ROUNDUP(K17/3,0)*Assumptions!$B$12,0)</f>
        <v>1300</v>
      </c>
      <c r="L37" s="0" t="n">
        <f aca="false">IF(L13&gt;=2,ROUNDUP(L17/3,0)*Assumptions!$B$12,0)</f>
        <v>1300</v>
      </c>
      <c r="M37" s="0" t="n">
        <f aca="false">IF(M13&gt;=2,ROUNDUP(M17/3,0)*Assumptions!$B$12,0)</f>
        <v>1300</v>
      </c>
      <c r="N37" s="0" t="n">
        <f aca="false">IF(N13&gt;=2,ROUNDUP(N17/3,0)*Assumptions!$B$12,0)</f>
        <v>1300</v>
      </c>
      <c r="O37" s="0" t="n">
        <f aca="false">SUM(B37:N37)</f>
        <v>11050</v>
      </c>
    </row>
    <row r="38" customFormat="false" ht="15" hidden="false" customHeight="false" outlineLevel="0" collapsed="false">
      <c r="A38" s="0" t="s">
        <v>119</v>
      </c>
      <c r="C38" s="0" t="n">
        <f aca="false">$B$9</f>
        <v>800</v>
      </c>
      <c r="D38" s="0" t="n">
        <f aca="false">$B$9</f>
        <v>800</v>
      </c>
      <c r="E38" s="0" t="n">
        <f aca="false">$B$9</f>
        <v>800</v>
      </c>
      <c r="F38" s="0" t="n">
        <f aca="false">$B$9</f>
        <v>800</v>
      </c>
      <c r="G38" s="0" t="n">
        <f aca="false">$B$9</f>
        <v>800</v>
      </c>
      <c r="H38" s="0" t="n">
        <f aca="false">$B$9</f>
        <v>800</v>
      </c>
      <c r="I38" s="0" t="n">
        <f aca="false">$B$9</f>
        <v>800</v>
      </c>
      <c r="J38" s="0" t="n">
        <f aca="false">$B$9</f>
        <v>800</v>
      </c>
      <c r="K38" s="0" t="n">
        <f aca="false">$B$9</f>
        <v>800</v>
      </c>
      <c r="L38" s="0" t="n">
        <f aca="false">$B$9</f>
        <v>800</v>
      </c>
      <c r="M38" s="0" t="n">
        <f aca="false">$B$9</f>
        <v>800</v>
      </c>
      <c r="N38" s="0" t="n">
        <f aca="false">$B$9</f>
        <v>800</v>
      </c>
      <c r="O38" s="0" t="n">
        <f aca="false">SUM(B38:N38)</f>
        <v>9600</v>
      </c>
    </row>
    <row r="39" customFormat="false" ht="15" hidden="false" customHeight="false" outlineLevel="0" collapsed="false">
      <c r="A39" s="0" t="s">
        <v>120</v>
      </c>
      <c r="C39" s="0" t="n">
        <f aca="false">SUM(C34:C38)</f>
        <v>1135</v>
      </c>
      <c r="D39" s="0" t="n">
        <f aca="false">SUM(D34:D38)</f>
        <v>1785</v>
      </c>
      <c r="E39" s="0" t="n">
        <f aca="false">SUM(E34:E38)</f>
        <v>1785</v>
      </c>
      <c r="F39" s="0" t="n">
        <f aca="false">SUM(F34:F38)</f>
        <v>1810</v>
      </c>
      <c r="G39" s="0" t="n">
        <f aca="false">SUM(G34:G38)</f>
        <v>1810</v>
      </c>
      <c r="H39" s="0" t="n">
        <f aca="false">SUM(H34:H38)</f>
        <v>1810</v>
      </c>
      <c r="I39" s="0" t="n">
        <f aca="false">SUM(I34:I38)</f>
        <v>2510</v>
      </c>
      <c r="J39" s="0" t="n">
        <f aca="false">SUM(J34:J38)</f>
        <v>2510</v>
      </c>
      <c r="K39" s="0" t="n">
        <f aca="false">SUM(K34:K38)</f>
        <v>2510</v>
      </c>
      <c r="L39" s="0" t="n">
        <f aca="false">SUM(L34:L38)</f>
        <v>2560</v>
      </c>
      <c r="M39" s="0" t="n">
        <f aca="false">SUM(M34:M38)</f>
        <v>2560</v>
      </c>
      <c r="N39" s="0" t="n">
        <f aca="false">SUM(N34:N38)</f>
        <v>2560</v>
      </c>
      <c r="O39" s="0" t="n">
        <f aca="false">SUM(B39:N39)</f>
        <v>25345</v>
      </c>
    </row>
    <row r="40" customFormat="false" ht="15" hidden="false" customHeight="false" outlineLevel="0" collapsed="false">
      <c r="A40" s="1" t="s">
        <v>121</v>
      </c>
      <c r="C40" s="3" t="n">
        <f aca="false">C33-C39</f>
        <v>-1462.5328</v>
      </c>
      <c r="D40" s="3" t="n">
        <f aca="false">D33-D39</f>
        <v>-1209.57216</v>
      </c>
      <c r="E40" s="3" t="n">
        <f aca="false">E33-E39</f>
        <v>-381.85824</v>
      </c>
      <c r="F40" s="3" t="n">
        <f aca="false">F33-F39</f>
        <v>168.5696</v>
      </c>
      <c r="G40" s="3" t="n">
        <f aca="false">G33-G39</f>
        <v>93.3228799999997</v>
      </c>
      <c r="H40" s="3" t="n">
        <f aca="false">H33-H39</f>
        <v>-282.910720000001</v>
      </c>
      <c r="I40" s="3" t="n">
        <f aca="false">I33-I39</f>
        <v>-2315.1968</v>
      </c>
      <c r="J40" s="3" t="n">
        <f aca="false">J33-J39</f>
        <v>-509.275520000001</v>
      </c>
      <c r="K40" s="3" t="n">
        <f aca="false">K33-K39</f>
        <v>544.178559999999</v>
      </c>
      <c r="L40" s="3" t="n">
        <f aca="false">L33-L39</f>
        <v>-2267.7952</v>
      </c>
      <c r="M40" s="3" t="n">
        <f aca="false">M33-M39</f>
        <v>-1515.328</v>
      </c>
      <c r="N40" s="3" t="n">
        <f aca="false">N33-N39</f>
        <v>2547.99488</v>
      </c>
      <c r="O40" s="3" t="n">
        <f aca="false">SUM(B40:N40)</f>
        <v>-6590.40352000001</v>
      </c>
    </row>
    <row r="41" customFormat="false" ht="15" hidden="false" customHeight="false" outlineLevel="0" collapsed="false">
      <c r="A41" s="0" t="s">
        <v>122</v>
      </c>
      <c r="B41" s="0" t="n">
        <f aca="false">Assumptions!$B$35</f>
        <v>9821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f aca="false">SUM(B41:N41)</f>
        <v>9821</v>
      </c>
    </row>
    <row r="42" customFormat="false" ht="15" hidden="false" customHeight="false" outlineLevel="0" collapsed="false">
      <c r="A42" s="0" t="s">
        <v>123</v>
      </c>
      <c r="C42" s="0" t="n">
        <f aca="false">C16*Assumptions!$B$17</f>
        <v>1700</v>
      </c>
      <c r="D42" s="0" t="n">
        <f aca="false">D16*Assumptions!$B$17</f>
        <v>0</v>
      </c>
      <c r="E42" s="0" t="n">
        <f aca="false">E16*Assumptions!$B$17</f>
        <v>0</v>
      </c>
      <c r="F42" s="0" t="n">
        <f aca="false">F16*Assumptions!$B$17</f>
        <v>1700</v>
      </c>
      <c r="G42" s="0" t="n">
        <f aca="false">G16*Assumptions!$B$17</f>
        <v>0</v>
      </c>
      <c r="H42" s="0" t="n">
        <f aca="false">H16*Assumptions!$B$17</f>
        <v>0</v>
      </c>
      <c r="I42" s="0" t="n">
        <f aca="false">I16*Assumptions!$B$17</f>
        <v>3400</v>
      </c>
      <c r="J42" s="0" t="n">
        <f aca="false">J16*Assumptions!$B$17</f>
        <v>0</v>
      </c>
      <c r="K42" s="0" t="n">
        <f aca="false">K16*Assumptions!$B$17</f>
        <v>0</v>
      </c>
      <c r="L42" s="0" t="n">
        <f aca="false">L16*Assumptions!$B$17</f>
        <v>3400</v>
      </c>
      <c r="M42" s="0" t="n">
        <f aca="false">M16*Assumptions!$B$17</f>
        <v>0</v>
      </c>
      <c r="N42" s="0" t="n">
        <f aca="false">N16*Assumptions!$B$17</f>
        <v>0</v>
      </c>
      <c r="O42" s="0" t="n">
        <f aca="false">SUM(B42:N42)</f>
        <v>10200</v>
      </c>
    </row>
    <row r="43" customFormat="false" ht="15" hidden="false" customHeight="false" outlineLevel="0" collapsed="false">
      <c r="A43" s="1" t="s">
        <v>124</v>
      </c>
      <c r="B43" s="3" t="n">
        <f aca="false">-B41</f>
        <v>-9821</v>
      </c>
      <c r="C43" s="3" t="n">
        <f aca="false">C40-C41-C42</f>
        <v>-3162.5328</v>
      </c>
      <c r="D43" s="3" t="n">
        <f aca="false">D40-D41-D42</f>
        <v>-1209.57216</v>
      </c>
      <c r="E43" s="3" t="n">
        <f aca="false">E40-E41-E42</f>
        <v>-381.85824</v>
      </c>
      <c r="F43" s="3" t="n">
        <f aca="false">F40-F41-F42</f>
        <v>-1531.4304</v>
      </c>
      <c r="G43" s="3" t="n">
        <f aca="false">G40-G41-G42</f>
        <v>93.3228799999997</v>
      </c>
      <c r="H43" s="3" t="n">
        <f aca="false">H40-H41-H42</f>
        <v>-282.910720000001</v>
      </c>
      <c r="I43" s="3" t="n">
        <f aca="false">I40-I41-I42</f>
        <v>-5715.1968</v>
      </c>
      <c r="J43" s="3" t="n">
        <f aca="false">J40-J41-J42</f>
        <v>-509.275520000001</v>
      </c>
      <c r="K43" s="3" t="n">
        <f aca="false">K40-K41-K42</f>
        <v>544.178559999999</v>
      </c>
      <c r="L43" s="3" t="n">
        <f aca="false">L40-L41-L42</f>
        <v>-5667.7952</v>
      </c>
      <c r="M43" s="3" t="n">
        <f aca="false">M40-M41-M42</f>
        <v>-1515.328</v>
      </c>
      <c r="N43" s="3" t="n">
        <f aca="false">N40-N41-N42</f>
        <v>2547.99488</v>
      </c>
      <c r="O43" s="3" t="n">
        <f aca="false">SUM(B43:N43)</f>
        <v>-26611.40352</v>
      </c>
    </row>
    <row r="44" customFormat="false" ht="15" hidden="false" customHeight="false" outlineLevel="0" collapsed="false">
      <c r="A44" s="1" t="s">
        <v>125</v>
      </c>
      <c r="B44" s="3" t="n">
        <f aca="false">-B41</f>
        <v>-9821</v>
      </c>
      <c r="C44" s="3" t="n">
        <f aca="false">B44+C43</f>
        <v>-12983.5328</v>
      </c>
      <c r="D44" s="3" t="n">
        <f aca="false">C44+D43</f>
        <v>-14193.10496</v>
      </c>
      <c r="E44" s="3" t="n">
        <f aca="false">D44+E43</f>
        <v>-14574.9632</v>
      </c>
      <c r="F44" s="3" t="n">
        <f aca="false">E44+F43</f>
        <v>-16106.3936</v>
      </c>
      <c r="G44" s="3" t="n">
        <f aca="false">F44+G43</f>
        <v>-16013.07072</v>
      </c>
      <c r="H44" s="3" t="n">
        <f aca="false">G44+H43</f>
        <v>-16295.98144</v>
      </c>
      <c r="I44" s="3" t="n">
        <f aca="false">H44+I43</f>
        <v>-22011.17824</v>
      </c>
      <c r="J44" s="3" t="n">
        <f aca="false">I44+J43</f>
        <v>-22520.45376</v>
      </c>
      <c r="K44" s="3" t="n">
        <f aca="false">J44+K43</f>
        <v>-21976.2752</v>
      </c>
      <c r="L44" s="3" t="n">
        <f aca="false">K44+L43</f>
        <v>-27644.0704</v>
      </c>
      <c r="M44" s="3" t="n">
        <f aca="false">L44+M43</f>
        <v>-29159.3984</v>
      </c>
      <c r="N44" s="3" t="n">
        <f aca="false">M44+N43</f>
        <v>-26611.40352</v>
      </c>
    </row>
    <row r="47" customFormat="false" ht="15" hidden="false" customHeight="false" outlineLevel="0" collapsed="false">
      <c r="A47" s="0" t="s">
        <v>126</v>
      </c>
      <c r="C47" s="0" t="n">
        <f aca="false">IF(C23=0,0,C33/C23)</f>
        <v>-0.286705882352941</v>
      </c>
      <c r="D47" s="0" t="n">
        <f aca="false">IF(D23=0,0,D33/D23)</f>
        <v>0.228954927425516</v>
      </c>
      <c r="E47" s="0" t="n">
        <f aca="false">IF(E23=0,0,E33/E23)</f>
        <v>0.372194041252865</v>
      </c>
      <c r="F47" s="0" t="n">
        <f aca="false">IF(F23=0,0,F33/F23)</f>
        <v>0.314898395721925</v>
      </c>
      <c r="G47" s="0" t="n">
        <f aca="false">IF(G23=0,0,G33/G23)</f>
        <v>0.308532212885154</v>
      </c>
      <c r="H47" s="0" t="n">
        <f aca="false">IF(H23=0,0,H33/H23)</f>
        <v>0.27280363574001</v>
      </c>
      <c r="I47" s="0" t="n">
        <f aca="false">IF(I23=0,0,I33/I23)</f>
        <v>0.0284201680672268</v>
      </c>
      <c r="J47" s="0" t="n">
        <f aca="false">IF(J23=0,0,J33/J23)</f>
        <v>0.208492196878751</v>
      </c>
      <c r="K47" s="0" t="n">
        <f aca="false">IF(K23=0,0,K33/K23)</f>
        <v>0.27280363574001</v>
      </c>
      <c r="L47" s="0" t="n">
        <f aca="false">IF(L23=0,0,L33/L23)</f>
        <v>0.0284201680672268</v>
      </c>
      <c r="M47" s="0" t="n">
        <f aca="false">IF(M23=0,0,M33/M23)</f>
        <v>0.0914453781512605</v>
      </c>
      <c r="N47" s="0" t="n">
        <f aca="false">IF(N23=0,0,N33/N23)</f>
        <v>0.290343119065808</v>
      </c>
    </row>
    <row r="48" customFormat="false" ht="15" hidden="false" customHeight="false" outlineLevel="0" collapsed="false">
      <c r="A48" s="0" t="s">
        <v>127</v>
      </c>
      <c r="C48" s="0" t="n">
        <f aca="false">C23*Assumptions!$B$3</f>
        <v>180499.2</v>
      </c>
      <c r="D48" s="0" t="n">
        <f aca="false">D23*Assumptions!$B$3</f>
        <v>397098.24</v>
      </c>
      <c r="E48" s="0" t="n">
        <f aca="false">E23*Assumptions!$B$3</f>
        <v>595647.36</v>
      </c>
      <c r="F48" s="0" t="n">
        <f aca="false">F23*Assumptions!$B$3</f>
        <v>992745.6</v>
      </c>
      <c r="G48" s="0" t="n">
        <f aca="false">G23*Assumptions!$B$3</f>
        <v>974695.68</v>
      </c>
      <c r="H48" s="0" t="n">
        <f aca="false">H23*Assumptions!$B$3</f>
        <v>884446.08</v>
      </c>
      <c r="I48" s="0" t="n">
        <f aca="false">I23*Assumptions!$B$3</f>
        <v>1082995.2</v>
      </c>
      <c r="J48" s="0" t="n">
        <f aca="false">J23*Assumptions!$B$3</f>
        <v>1516193.28</v>
      </c>
      <c r="K48" s="0" t="n">
        <f aca="false">K23*Assumptions!$B$3</f>
        <v>1768892.16</v>
      </c>
      <c r="L48" s="0" t="n">
        <f aca="false">L23*Assumptions!$B$3</f>
        <v>1624492.8</v>
      </c>
      <c r="M48" s="0" t="n">
        <f aca="false">M23*Assumptions!$B$3</f>
        <v>1804992</v>
      </c>
      <c r="N48" s="0" t="n">
        <f aca="false">N23*Assumptions!$B$3</f>
        <v>2779687.68</v>
      </c>
      <c r="O48" s="0" t="n">
        <f aca="false">SUM(B48:N48)</f>
        <v>14602385.28</v>
      </c>
    </row>
    <row r="49" customFormat="false" ht="15" hidden="false" customHeight="false" outlineLevel="0" collapsed="false">
      <c r="A49" s="0" t="s">
        <v>128</v>
      </c>
      <c r="C49" s="0" t="n">
        <f aca="false">C40*Assumptions!$B$3</f>
        <v>-231080.1824</v>
      </c>
      <c r="D49" s="0" t="n">
        <f aca="false">D40*Assumptions!$B$3</f>
        <v>-191112.40128</v>
      </c>
      <c r="E49" s="0" t="n">
        <f aca="false">E40*Assumptions!$B$3</f>
        <v>-60333.60192</v>
      </c>
      <c r="F49" s="0" t="n">
        <f aca="false">F40*Assumptions!$B$3</f>
        <v>26633.9968</v>
      </c>
      <c r="G49" s="0" t="n">
        <f aca="false">G40*Assumptions!$B$3</f>
        <v>14745.01504</v>
      </c>
      <c r="H49" s="0" t="n">
        <f aca="false">H40*Assumptions!$B$3</f>
        <v>-44699.8937600001</v>
      </c>
      <c r="I49" s="0" t="n">
        <f aca="false">I40*Assumptions!$B$3</f>
        <v>-365801.0944</v>
      </c>
      <c r="J49" s="0" t="n">
        <f aca="false">J40*Assumptions!$B$3</f>
        <v>-80465.5321600002</v>
      </c>
      <c r="K49" s="0" t="n">
        <f aca="false">K40*Assumptions!$B$3</f>
        <v>85980.2124799998</v>
      </c>
      <c r="L49" s="0" t="n">
        <f aca="false">L40*Assumptions!$B$3</f>
        <v>-358311.6416</v>
      </c>
      <c r="M49" s="0" t="n">
        <f aca="false">M40*Assumptions!$B$3</f>
        <v>-239421.824</v>
      </c>
      <c r="N49" s="0" t="n">
        <f aca="false">N40*Assumptions!$B$3</f>
        <v>402583.19104</v>
      </c>
      <c r="O49" s="0" t="n">
        <f aca="false">SUM(B49:N49)</f>
        <v>-1041283.75616</v>
      </c>
    </row>
    <row r="51" customFormat="false" ht="15" hidden="false" customHeight="false" outlineLevel="0" collapsed="false">
      <c r="A51" s="0" t="s">
        <v>129</v>
      </c>
      <c r="B51" s="0" t="n">
        <f aca="false">-MIN(B44:N44)</f>
        <v>29159.3984</v>
      </c>
    </row>
    <row r="52" customFormat="false" ht="15" hidden="false" customHeight="false" outlineLevel="0" collapsed="false">
      <c r="A52" s="0" t="s">
        <v>130</v>
      </c>
      <c r="B52" s="0" t="n">
        <f aca="false">B51*Assumptions!$B$3</f>
        <v>4607184.9472</v>
      </c>
    </row>
    <row r="53" customFormat="false" ht="15" hidden="false" customHeight="false" outlineLevel="0" collapsed="false">
      <c r="A53" s="0" t="s">
        <v>131</v>
      </c>
      <c r="B53" s="0" t="str">
        <f aca="false">IFERROR(INDEX(C14:N14,MATCH(TRUE(),INDEX(C40:N40&gt;0,0),0)),"none in 12 months")</f>
        <v>Mar-27</v>
      </c>
    </row>
    <row r="54" customFormat="false" ht="15" hidden="false" customHeight="false" outlineLevel="0" collapsed="false">
      <c r="A54" s="0" t="s">
        <v>132</v>
      </c>
      <c r="B54" s="0" t="n">
        <f aca="false">N40</f>
        <v>2547.99488</v>
      </c>
    </row>
    <row r="55" customFormat="false" ht="15" hidden="false" customHeight="false" outlineLevel="0" collapsed="false">
      <c r="A55" s="0" t="s">
        <v>133</v>
      </c>
      <c r="B55" s="0" t="n">
        <f aca="false">N33/N20</f>
        <v>2.76406649350649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5" min="2" style="0" width="11"/>
  </cols>
  <sheetData>
    <row r="1" customFormat="false" ht="1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0" t="s">
        <v>70</v>
      </c>
      <c r="B2" s="2" t="n">
        <v>24</v>
      </c>
    </row>
    <row r="3" customFormat="false" ht="15" hidden="false" customHeight="false" outlineLevel="0" collapsed="false">
      <c r="A3" s="0" t="s">
        <v>71</v>
      </c>
      <c r="B3" s="2" t="n">
        <v>3</v>
      </c>
    </row>
    <row r="4" customFormat="false" ht="15" hidden="false" customHeight="false" outlineLevel="0" collapsed="false">
      <c r="A4" s="0" t="s">
        <v>72</v>
      </c>
      <c r="B4" s="2" t="n">
        <v>8.4</v>
      </c>
    </row>
    <row r="5" customFormat="false" ht="15" hidden="false" customHeight="false" outlineLevel="0" collapsed="false">
      <c r="A5" s="0" t="s">
        <v>73</v>
      </c>
      <c r="B5" s="2" t="n">
        <v>0.05</v>
      </c>
    </row>
    <row r="6" customFormat="false" ht="15" hidden="false" customHeight="false" outlineLevel="0" collapsed="false">
      <c r="A6" s="0" t="s">
        <v>74</v>
      </c>
      <c r="B6" s="2" t="n">
        <v>0.7</v>
      </c>
    </row>
    <row r="7" customFormat="false" ht="15" hidden="false" customHeight="false" outlineLevel="0" collapsed="false">
      <c r="A7" s="0" t="s">
        <v>75</v>
      </c>
      <c r="B7" s="2" t="n">
        <v>0.03</v>
      </c>
    </row>
    <row r="8" customFormat="false" ht="15" hidden="false" customHeight="false" outlineLevel="0" collapsed="false">
      <c r="A8" s="0" t="s">
        <v>76</v>
      </c>
      <c r="B8" s="2" t="n">
        <v>36</v>
      </c>
    </row>
    <row r="9" customFormat="false" ht="15" hidden="false" customHeight="false" outlineLevel="0" collapsed="false">
      <c r="A9" s="0" t="s">
        <v>77</v>
      </c>
      <c r="B9" s="2" t="n">
        <v>1500</v>
      </c>
    </row>
    <row r="10" customFormat="false" ht="15" hidden="false" customHeight="false" outlineLevel="0" collapsed="false">
      <c r="A10" s="0" t="s">
        <v>78</v>
      </c>
      <c r="B10" s="2" t="n">
        <v>2</v>
      </c>
    </row>
    <row r="12" customFormat="false" ht="15" hidden="false" customHeight="false" outlineLevel="0" collapsed="false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1" t="s">
        <v>87</v>
      </c>
      <c r="J12" s="1" t="s">
        <v>88</v>
      </c>
      <c r="K12" s="1" t="s">
        <v>89</v>
      </c>
      <c r="L12" s="1" t="s">
        <v>90</v>
      </c>
      <c r="M12" s="1" t="s">
        <v>91</v>
      </c>
      <c r="N12" s="1" t="s">
        <v>92</v>
      </c>
      <c r="O12" s="1" t="s">
        <v>93</v>
      </c>
    </row>
    <row r="13" customFormat="false" ht="15" hidden="false" customHeight="false" outlineLevel="0" collapsed="false">
      <c r="A13" s="0" t="s">
        <v>94</v>
      </c>
      <c r="B13" s="0" t="n">
        <v>0</v>
      </c>
      <c r="C13" s="0" t="n">
        <v>1</v>
      </c>
      <c r="D13" s="0" t="n">
        <v>2</v>
      </c>
      <c r="E13" s="0" t="n">
        <v>3</v>
      </c>
      <c r="F13" s="0" t="n">
        <v>4</v>
      </c>
      <c r="G13" s="0" t="n">
        <v>5</v>
      </c>
      <c r="H13" s="0" t="n">
        <v>6</v>
      </c>
      <c r="I13" s="0" t="n">
        <v>7</v>
      </c>
      <c r="J13" s="0" t="n">
        <v>8</v>
      </c>
      <c r="K13" s="0" t="n">
        <v>9</v>
      </c>
      <c r="L13" s="0" t="n">
        <v>10</v>
      </c>
      <c r="M13" s="0" t="n">
        <v>11</v>
      </c>
      <c r="N13" s="0" t="n">
        <v>12</v>
      </c>
    </row>
    <row r="14" customFormat="false" ht="15" hidden="false" customHeight="false" outlineLevel="0" collapsed="false">
      <c r="A14" s="0" t="s">
        <v>95</v>
      </c>
      <c r="C14" s="0" t="s">
        <v>57</v>
      </c>
      <c r="D14" s="0" t="s">
        <v>58</v>
      </c>
      <c r="E14" s="0" t="s">
        <v>59</v>
      </c>
      <c r="F14" s="0" t="s">
        <v>60</v>
      </c>
      <c r="G14" s="0" t="s">
        <v>61</v>
      </c>
      <c r="H14" s="0" t="s">
        <v>62</v>
      </c>
      <c r="I14" s="0" t="s">
        <v>63</v>
      </c>
      <c r="J14" s="0" t="s">
        <v>64</v>
      </c>
      <c r="K14" s="0" t="s">
        <v>65</v>
      </c>
      <c r="L14" s="0" t="s">
        <v>66</v>
      </c>
      <c r="M14" s="0" t="s">
        <v>67</v>
      </c>
      <c r="N14" s="0" t="s">
        <v>68</v>
      </c>
    </row>
    <row r="15" customFormat="false" ht="15" hidden="false" customHeight="false" outlineLevel="0" collapsed="false">
      <c r="A15" s="0" t="s">
        <v>96</v>
      </c>
      <c r="C15" s="0" t="n">
        <f aca="false">Assumptions!$B$38</f>
        <v>1</v>
      </c>
      <c r="D15" s="0" t="n">
        <f aca="false">Assumptions!$B$39</f>
        <v>1.1</v>
      </c>
      <c r="E15" s="0" t="n">
        <f aca="false">Assumptions!$B$40</f>
        <v>1.1</v>
      </c>
      <c r="F15" s="0" t="n">
        <f aca="false">Assumptions!$B$41</f>
        <v>1.1</v>
      </c>
      <c r="G15" s="0" t="n">
        <f aca="false">Assumptions!$B$42</f>
        <v>0.9</v>
      </c>
      <c r="H15" s="0" t="n">
        <f aca="false">Assumptions!$B$43</f>
        <v>0.7</v>
      </c>
      <c r="I15" s="0" t="n">
        <f aca="false">Assumptions!$B$44</f>
        <v>0.6</v>
      </c>
      <c r="J15" s="0" t="n">
        <f aca="false">Assumptions!$B$45</f>
        <v>0.7</v>
      </c>
      <c r="K15" s="0" t="n">
        <f aca="false">Assumptions!$B$46</f>
        <v>0.7</v>
      </c>
      <c r="L15" s="0" t="n">
        <f aca="false">Assumptions!$B$47</f>
        <v>0.5</v>
      </c>
      <c r="M15" s="0" t="n">
        <f aca="false">Assumptions!$B$48</f>
        <v>0.5</v>
      </c>
      <c r="N15" s="0" t="n">
        <f aca="false">Assumptions!$B$49</f>
        <v>0.7</v>
      </c>
    </row>
    <row r="16" customFormat="false" ht="15" hidden="false" customHeight="false" outlineLevel="0" collapsed="false">
      <c r="A16" s="0" t="s">
        <v>97</v>
      </c>
      <c r="C16" s="2" t="n">
        <v>1</v>
      </c>
      <c r="D16" s="2" t="n">
        <v>1</v>
      </c>
      <c r="E16" s="2" t="n">
        <v>2</v>
      </c>
      <c r="F16" s="2" t="n">
        <v>0</v>
      </c>
      <c r="G16" s="2" t="n">
        <v>2</v>
      </c>
      <c r="H16" s="2" t="n">
        <v>0</v>
      </c>
      <c r="I16" s="2" t="n">
        <v>3</v>
      </c>
      <c r="J16" s="2" t="n">
        <v>0</v>
      </c>
      <c r="K16" s="2" t="n">
        <v>3</v>
      </c>
      <c r="L16" s="2" t="n">
        <v>0</v>
      </c>
      <c r="M16" s="2" t="n">
        <v>2</v>
      </c>
      <c r="N16" s="2" t="n">
        <v>0</v>
      </c>
    </row>
    <row r="17" customFormat="false" ht="15" hidden="false" customHeight="false" outlineLevel="0" collapsed="false">
      <c r="A17" s="0" t="s">
        <v>98</v>
      </c>
      <c r="B17" s="0" t="n">
        <v>0</v>
      </c>
      <c r="C17" s="0" t="n">
        <f aca="false">B17+C16</f>
        <v>1</v>
      </c>
      <c r="D17" s="0" t="n">
        <f aca="false">C17+D16</f>
        <v>2</v>
      </c>
      <c r="E17" s="0" t="n">
        <f aca="false">D17+E16</f>
        <v>4</v>
      </c>
      <c r="F17" s="0" t="n">
        <f aca="false">E17+F16</f>
        <v>4</v>
      </c>
      <c r="G17" s="0" t="n">
        <f aca="false">F17+G16</f>
        <v>6</v>
      </c>
      <c r="H17" s="0" t="n">
        <f aca="false">G17+H16</f>
        <v>6</v>
      </c>
      <c r="I17" s="0" t="n">
        <f aca="false">H17+I16</f>
        <v>9</v>
      </c>
      <c r="J17" s="0" t="n">
        <f aca="false">I17+J16</f>
        <v>9</v>
      </c>
      <c r="K17" s="0" t="n">
        <f aca="false">J17+K16</f>
        <v>12</v>
      </c>
      <c r="L17" s="0" t="n">
        <f aca="false">K17+L16</f>
        <v>12</v>
      </c>
      <c r="M17" s="0" t="n">
        <f aca="false">L17+M16</f>
        <v>14</v>
      </c>
      <c r="N17" s="0" t="n">
        <f aca="false">M17+N16</f>
        <v>14</v>
      </c>
    </row>
    <row r="18" customFormat="false" ht="15" hidden="false" customHeight="false" outlineLevel="0" collapsed="false">
      <c r="A18" s="0" t="s">
        <v>99</v>
      </c>
      <c r="C18" s="0" t="n">
        <f aca="false">SUMPRODUCT($C$16:C16,(C$13-$C$13:C$13+1+$B$3-ABS(C$13-$C$13:C$13+1-$B$3))/(2*$B$3))</f>
        <v>0.333333333333333</v>
      </c>
      <c r="D18" s="0" t="n">
        <f aca="false">SUMPRODUCT($C$16:D16,(D$13-$C$13:D$13+1+$B$3-ABS(D$13-$C$13:D$13+1-$B$3))/(2*$B$3))</f>
        <v>1</v>
      </c>
      <c r="E18" s="0" t="n">
        <f aca="false">SUMPRODUCT($C$16:E16,(E$13-$C$13:E$13+1+$B$3-ABS(E$13-$C$13:E$13+1-$B$3))/(2*$B$3))</f>
        <v>2.33333333333333</v>
      </c>
      <c r="F18" s="0" t="n">
        <f aca="false">SUMPRODUCT($C$16:F16,(F$13-$C$13:F$13+1+$B$3-ABS(F$13-$C$13:F$13+1-$B$3))/(2*$B$3))</f>
        <v>3.33333333333333</v>
      </c>
      <c r="G18" s="0" t="n">
        <f aca="false">SUMPRODUCT($C$16:G16,(G$13-$C$13:G$13+1+$B$3-ABS(G$13-$C$13:G$13+1-$B$3))/(2*$B$3))</f>
        <v>4.66666666666667</v>
      </c>
      <c r="H18" s="0" t="n">
        <f aca="false">SUMPRODUCT($C$16:H16,(H$13-$C$13:H$13+1+$B$3-ABS(H$13-$C$13:H$13+1-$B$3))/(2*$B$3))</f>
        <v>5.33333333333333</v>
      </c>
      <c r="I18" s="0" t="n">
        <f aca="false">SUMPRODUCT($C$16:I16,(I$13-$C$13:I$13+1+$B$3-ABS(I$13-$C$13:I$13+1-$B$3))/(2*$B$3))</f>
        <v>7</v>
      </c>
      <c r="J18" s="0" t="n">
        <f aca="false">SUMPRODUCT($C$16:J16,(J$13-$C$13:J$13+1+$B$3-ABS(J$13-$C$13:J$13+1-$B$3))/(2*$B$3))</f>
        <v>8</v>
      </c>
      <c r="K18" s="0" t="n">
        <f aca="false">SUMPRODUCT($C$16:K16,(K$13-$C$13:K$13+1+$B$3-ABS(K$13-$C$13:K$13+1-$B$3))/(2*$B$3))</f>
        <v>10</v>
      </c>
      <c r="L18" s="0" t="n">
        <f aca="false">SUMPRODUCT($C$16:L16,(L$13-$C$13:L$13+1+$B$3-ABS(L$13-$C$13:L$13+1-$B$3))/(2*$B$3))</f>
        <v>11</v>
      </c>
      <c r="M18" s="0" t="n">
        <f aca="false">SUMPRODUCT($C$16:M16,(M$13-$C$13:M$13+1+$B$3-ABS(M$13-$C$13:M$13+1-$B$3))/(2*$B$3))</f>
        <v>12.6666666666667</v>
      </c>
      <c r="N18" s="0" t="n">
        <f aca="false">SUMPRODUCT($C$16:N16,(N$13-$C$13:N$13+1+$B$3-ABS(N$13-$C$13:N$13+1-$B$3))/(2*$B$3))</f>
        <v>13.3333333333333</v>
      </c>
    </row>
    <row r="19" customFormat="false" ht="15" hidden="false" customHeight="false" outlineLevel="0" collapsed="false">
      <c r="A19" s="0" t="s">
        <v>100</v>
      </c>
      <c r="C19" s="0" t="n">
        <f aca="false">C18*$B$2*C15</f>
        <v>8</v>
      </c>
      <c r="D19" s="0" t="n">
        <f aca="false">D18*$B$2*D15</f>
        <v>26.4</v>
      </c>
      <c r="E19" s="0" t="n">
        <f aca="false">E18*$B$2*E15</f>
        <v>61.6</v>
      </c>
      <c r="F19" s="0" t="n">
        <f aca="false">F18*$B$2*F15</f>
        <v>88</v>
      </c>
      <c r="G19" s="0" t="n">
        <f aca="false">G18*$B$2*G15</f>
        <v>100.8</v>
      </c>
      <c r="H19" s="0" t="n">
        <f aca="false">H18*$B$2*H15</f>
        <v>89.6</v>
      </c>
      <c r="I19" s="0" t="n">
        <f aca="false">I18*$B$2*I15</f>
        <v>100.8</v>
      </c>
      <c r="J19" s="0" t="n">
        <f aca="false">J18*$B$2*J15</f>
        <v>134.4</v>
      </c>
      <c r="K19" s="0" t="n">
        <f aca="false">K18*$B$2*K15</f>
        <v>168</v>
      </c>
      <c r="L19" s="0" t="n">
        <f aca="false">L18*$B$2*L15</f>
        <v>132</v>
      </c>
      <c r="M19" s="0" t="n">
        <f aca="false">M18*$B$2*M15</f>
        <v>152</v>
      </c>
      <c r="N19" s="0" t="n">
        <f aca="false">N18*$B$2*N15</f>
        <v>224</v>
      </c>
    </row>
    <row r="20" customFormat="false" ht="15" hidden="false" customHeight="false" outlineLevel="0" collapsed="false">
      <c r="A20" s="0" t="s">
        <v>101</v>
      </c>
      <c r="C20" s="0" t="n">
        <f aca="false">C19*Assumptions!$B$19</f>
        <v>240</v>
      </c>
      <c r="D20" s="0" t="n">
        <f aca="false">D19*Assumptions!$B$19</f>
        <v>792</v>
      </c>
      <c r="E20" s="0" t="n">
        <f aca="false">E19*Assumptions!$B$19</f>
        <v>1848</v>
      </c>
      <c r="F20" s="0" t="n">
        <f aca="false">F19*Assumptions!$B$19</f>
        <v>2640</v>
      </c>
      <c r="G20" s="0" t="n">
        <f aca="false">G19*Assumptions!$B$19</f>
        <v>3024</v>
      </c>
      <c r="H20" s="0" t="n">
        <f aca="false">H19*Assumptions!$B$19</f>
        <v>2688</v>
      </c>
      <c r="I20" s="0" t="n">
        <f aca="false">I19*Assumptions!$B$19</f>
        <v>3024</v>
      </c>
      <c r="J20" s="0" t="n">
        <f aca="false">J19*Assumptions!$B$19</f>
        <v>4032</v>
      </c>
      <c r="K20" s="0" t="n">
        <f aca="false">K19*Assumptions!$B$19</f>
        <v>5040</v>
      </c>
      <c r="L20" s="0" t="n">
        <f aca="false">L19*Assumptions!$B$19</f>
        <v>3960</v>
      </c>
      <c r="M20" s="0" t="n">
        <f aca="false">M19*Assumptions!$B$19</f>
        <v>4560</v>
      </c>
      <c r="N20" s="0" t="n">
        <f aca="false">N19*Assumptions!$B$19</f>
        <v>6720</v>
      </c>
      <c r="O20" s="0" t="n">
        <f aca="false">SUM(B20:N20)</f>
        <v>38568</v>
      </c>
    </row>
    <row r="21" customFormat="false" ht="15" hidden="false" customHeight="false" outlineLevel="0" collapsed="false">
      <c r="A21" s="0" t="s">
        <v>102</v>
      </c>
      <c r="C21" s="0" t="n">
        <f aca="false">C20*$B$4*(1-$B$5)</f>
        <v>1915.2</v>
      </c>
      <c r="D21" s="0" t="n">
        <f aca="false">D20*$B$4*(1-$B$5)</f>
        <v>6320.16</v>
      </c>
      <c r="E21" s="0" t="n">
        <f aca="false">E20*$B$4*(1-$B$5)</f>
        <v>14747.04</v>
      </c>
      <c r="F21" s="0" t="n">
        <f aca="false">F20*$B$4*(1-$B$5)</f>
        <v>21067.2</v>
      </c>
      <c r="G21" s="0" t="n">
        <f aca="false">G20*$B$4*(1-$B$5)</f>
        <v>24131.52</v>
      </c>
      <c r="H21" s="0" t="n">
        <f aca="false">H20*$B$4*(1-$B$5)</f>
        <v>21450.24</v>
      </c>
      <c r="I21" s="0" t="n">
        <f aca="false">I20*$B$4*(1-$B$5)</f>
        <v>24131.52</v>
      </c>
      <c r="J21" s="0" t="n">
        <f aca="false">J20*$B$4*(1-$B$5)</f>
        <v>32175.36</v>
      </c>
      <c r="K21" s="0" t="n">
        <f aca="false">K20*$B$4*(1-$B$5)</f>
        <v>40219.2</v>
      </c>
      <c r="L21" s="0" t="n">
        <f aca="false">L20*$B$4*(1-$B$5)</f>
        <v>31600.8</v>
      </c>
      <c r="M21" s="0" t="n">
        <f aca="false">M20*$B$4*(1-$B$5)</f>
        <v>36388.8</v>
      </c>
      <c r="N21" s="0" t="n">
        <f aca="false">N20*$B$4*(1-$B$5)</f>
        <v>53625.6</v>
      </c>
      <c r="O21" s="0" t="n">
        <f aca="false">SUM(B21:N21)</f>
        <v>307772.64</v>
      </c>
    </row>
    <row r="22" customFormat="false" ht="15" hidden="false" customHeight="false" outlineLevel="0" collapsed="false">
      <c r="A22" s="0" t="s">
        <v>103</v>
      </c>
      <c r="C22" s="0" t="n">
        <f aca="false">C20*$B$10</f>
        <v>480</v>
      </c>
      <c r="D22" s="0" t="n">
        <f aca="false">D20*$B$10</f>
        <v>1584</v>
      </c>
      <c r="E22" s="0" t="n">
        <f aca="false">E20*$B$10</f>
        <v>3696</v>
      </c>
      <c r="F22" s="0" t="n">
        <f aca="false">F20*$B$10</f>
        <v>5280</v>
      </c>
      <c r="G22" s="0" t="n">
        <f aca="false">G20*$B$10</f>
        <v>6048</v>
      </c>
      <c r="H22" s="0" t="n">
        <f aca="false">H20*$B$10</f>
        <v>5376</v>
      </c>
      <c r="I22" s="0" t="n">
        <f aca="false">I20*$B$10</f>
        <v>6048</v>
      </c>
      <c r="J22" s="0" t="n">
        <f aca="false">J20*$B$10</f>
        <v>8064</v>
      </c>
      <c r="K22" s="0" t="n">
        <f aca="false">K20*$B$10</f>
        <v>10080</v>
      </c>
      <c r="L22" s="0" t="n">
        <f aca="false">L20*$B$10</f>
        <v>7920</v>
      </c>
      <c r="M22" s="0" t="n">
        <f aca="false">M20*$B$10</f>
        <v>9120</v>
      </c>
      <c r="N22" s="0" t="n">
        <f aca="false">N20*$B$10</f>
        <v>13440</v>
      </c>
      <c r="O22" s="0" t="n">
        <f aca="false">SUM(B22:N22)</f>
        <v>77136</v>
      </c>
    </row>
    <row r="23" customFormat="false" ht="15" hidden="false" customHeight="false" outlineLevel="0" collapsed="false">
      <c r="A23" s="1" t="s">
        <v>104</v>
      </c>
      <c r="C23" s="3" t="n">
        <f aca="false">C21+C22</f>
        <v>2395.2</v>
      </c>
      <c r="D23" s="3" t="n">
        <f aca="false">D21+D22</f>
        <v>7904.16</v>
      </c>
      <c r="E23" s="3" t="n">
        <f aca="false">E21+E22</f>
        <v>18443.04</v>
      </c>
      <c r="F23" s="3" t="n">
        <f aca="false">F21+F22</f>
        <v>26347.2</v>
      </c>
      <c r="G23" s="3" t="n">
        <f aca="false">G21+G22</f>
        <v>30179.52</v>
      </c>
      <c r="H23" s="3" t="n">
        <f aca="false">H21+H22</f>
        <v>26826.24</v>
      </c>
      <c r="I23" s="3" t="n">
        <f aca="false">I21+I22</f>
        <v>30179.52</v>
      </c>
      <c r="J23" s="3" t="n">
        <f aca="false">J21+J22</f>
        <v>40239.36</v>
      </c>
      <c r="K23" s="3" t="n">
        <f aca="false">K21+K22</f>
        <v>50299.2</v>
      </c>
      <c r="L23" s="3" t="n">
        <f aca="false">L21+L22</f>
        <v>39520.8</v>
      </c>
      <c r="M23" s="3" t="n">
        <f aca="false">M21+M22</f>
        <v>45508.8</v>
      </c>
      <c r="N23" s="3" t="n">
        <f aca="false">N21+N22</f>
        <v>67065.6</v>
      </c>
      <c r="O23" s="3" t="n">
        <f aca="false">SUM(B23:N23)</f>
        <v>384908.64</v>
      </c>
    </row>
    <row r="24" customFormat="false" ht="15" hidden="false" customHeight="false" outlineLevel="0" collapsed="false">
      <c r="A24" s="0" t="s">
        <v>105</v>
      </c>
      <c r="C24" s="0" t="n">
        <f aca="false">C20*Assumptions!$B$4*$B$6</f>
        <v>201.6</v>
      </c>
      <c r="D24" s="0" t="n">
        <f aca="false">D20*Assumptions!$B$4*$B$6</f>
        <v>665.28</v>
      </c>
      <c r="E24" s="0" t="n">
        <f aca="false">E20*Assumptions!$B$4*$B$6</f>
        <v>1552.32</v>
      </c>
      <c r="F24" s="0" t="n">
        <f aca="false">F20*Assumptions!$B$4*$B$6</f>
        <v>2217.6</v>
      </c>
      <c r="G24" s="0" t="n">
        <f aca="false">G20*Assumptions!$B$4*$B$6</f>
        <v>2540.16</v>
      </c>
      <c r="H24" s="0" t="n">
        <f aca="false">H20*Assumptions!$B$4*$B$6</f>
        <v>2257.92</v>
      </c>
      <c r="I24" s="0" t="n">
        <f aca="false">I20*Assumptions!$B$4*$B$6</f>
        <v>2540.16</v>
      </c>
      <c r="J24" s="0" t="n">
        <f aca="false">J20*Assumptions!$B$4*$B$6</f>
        <v>3386.88</v>
      </c>
      <c r="K24" s="0" t="n">
        <f aca="false">K20*Assumptions!$B$4*$B$6</f>
        <v>4233.6</v>
      </c>
      <c r="L24" s="0" t="n">
        <f aca="false">L20*Assumptions!$B$4*$B$6</f>
        <v>3326.4</v>
      </c>
      <c r="M24" s="0" t="n">
        <f aca="false">M20*Assumptions!$B$4*$B$6</f>
        <v>3830.4</v>
      </c>
      <c r="N24" s="0" t="n">
        <f aca="false">N20*Assumptions!$B$4*$B$6</f>
        <v>5644.8</v>
      </c>
      <c r="O24" s="0" t="n">
        <f aca="false">SUM(B24:N24)</f>
        <v>32397.12</v>
      </c>
    </row>
    <row r="25" customFormat="false" ht="15" hidden="false" customHeight="false" outlineLevel="0" collapsed="false">
      <c r="A25" s="0" t="s">
        <v>106</v>
      </c>
      <c r="C25" s="0" t="n">
        <f aca="false">C20*Assumptions!$B$5</f>
        <v>60</v>
      </c>
      <c r="D25" s="0" t="n">
        <f aca="false">D20*Assumptions!$B$5</f>
        <v>198</v>
      </c>
      <c r="E25" s="0" t="n">
        <f aca="false">E20*Assumptions!$B$5</f>
        <v>462</v>
      </c>
      <c r="F25" s="0" t="n">
        <f aca="false">F20*Assumptions!$B$5</f>
        <v>660</v>
      </c>
      <c r="G25" s="0" t="n">
        <f aca="false">G20*Assumptions!$B$5</f>
        <v>756</v>
      </c>
      <c r="H25" s="0" t="n">
        <f aca="false">H20*Assumptions!$B$5</f>
        <v>672</v>
      </c>
      <c r="I25" s="0" t="n">
        <f aca="false">I20*Assumptions!$B$5</f>
        <v>756</v>
      </c>
      <c r="J25" s="0" t="n">
        <f aca="false">J20*Assumptions!$B$5</f>
        <v>1008</v>
      </c>
      <c r="K25" s="0" t="n">
        <f aca="false">K20*Assumptions!$B$5</f>
        <v>1260</v>
      </c>
      <c r="L25" s="0" t="n">
        <f aca="false">L20*Assumptions!$B$5</f>
        <v>990</v>
      </c>
      <c r="M25" s="0" t="n">
        <f aca="false">M20*Assumptions!$B$5</f>
        <v>1140</v>
      </c>
      <c r="N25" s="0" t="n">
        <f aca="false">N20*Assumptions!$B$5</f>
        <v>1680</v>
      </c>
      <c r="O25" s="0" t="n">
        <f aca="false">SUM(B25:N25)</f>
        <v>9642</v>
      </c>
    </row>
    <row r="26" customFormat="false" ht="15" hidden="false" customHeight="false" outlineLevel="0" collapsed="false">
      <c r="A26" s="0" t="s">
        <v>107</v>
      </c>
      <c r="C26" s="0" t="n">
        <f aca="false">Assumptions!$B$6*(Assumptions!$B$7*C23+Assumptions!$B$8*C20)</f>
        <v>156.7872</v>
      </c>
      <c r="D26" s="0" t="n">
        <f aca="false">Assumptions!$B$6*(Assumptions!$B$7*D23+Assumptions!$B$8*D20)</f>
        <v>517.39776</v>
      </c>
      <c r="E26" s="0" t="n">
        <f aca="false">Assumptions!$B$6*(Assumptions!$B$7*E23+Assumptions!$B$8*E20)</f>
        <v>1207.26144</v>
      </c>
      <c r="F26" s="0" t="n">
        <f aca="false">Assumptions!$B$6*(Assumptions!$B$7*F23+Assumptions!$B$8*F20)</f>
        <v>1724.6592</v>
      </c>
      <c r="G26" s="0" t="n">
        <f aca="false">Assumptions!$B$6*(Assumptions!$B$7*G23+Assumptions!$B$8*G20)</f>
        <v>1975.51872</v>
      </c>
      <c r="H26" s="0" t="n">
        <f aca="false">Assumptions!$B$6*(Assumptions!$B$7*H23+Assumptions!$B$8*H20)</f>
        <v>1756.01664</v>
      </c>
      <c r="I26" s="0" t="n">
        <f aca="false">Assumptions!$B$6*(Assumptions!$B$7*I23+Assumptions!$B$8*I20)</f>
        <v>1975.51872</v>
      </c>
      <c r="J26" s="0" t="n">
        <f aca="false">Assumptions!$B$6*(Assumptions!$B$7*J23+Assumptions!$B$8*J20)</f>
        <v>2634.02496</v>
      </c>
      <c r="K26" s="0" t="n">
        <f aca="false">Assumptions!$B$6*(Assumptions!$B$7*K23+Assumptions!$B$8*K20)</f>
        <v>3292.5312</v>
      </c>
      <c r="L26" s="0" t="n">
        <f aca="false">Assumptions!$B$6*(Assumptions!$B$7*L23+Assumptions!$B$8*L20)</f>
        <v>2586.9888</v>
      </c>
      <c r="M26" s="0" t="n">
        <f aca="false">Assumptions!$B$6*(Assumptions!$B$7*M23+Assumptions!$B$8*M20)</f>
        <v>2978.9568</v>
      </c>
      <c r="N26" s="0" t="n">
        <f aca="false">Assumptions!$B$6*(Assumptions!$B$7*N23+Assumptions!$B$8*N20)</f>
        <v>4390.0416</v>
      </c>
      <c r="O26" s="0" t="n">
        <f aca="false">SUM(B26:N26)</f>
        <v>25195.70304</v>
      </c>
    </row>
    <row r="27" customFormat="false" ht="15" hidden="false" customHeight="false" outlineLevel="0" collapsed="false">
      <c r="A27" s="0" t="s">
        <v>108</v>
      </c>
      <c r="C27" s="0" t="n">
        <f aca="false">(1-Assumptions!$B$6)*Assumptions!$B$9*C23</f>
        <v>14.3712</v>
      </c>
      <c r="D27" s="0" t="n">
        <f aca="false">(1-Assumptions!$B$6)*Assumptions!$B$9*D23</f>
        <v>47.42496</v>
      </c>
      <c r="E27" s="0" t="n">
        <f aca="false">(1-Assumptions!$B$6)*Assumptions!$B$9*E23</f>
        <v>110.65824</v>
      </c>
      <c r="F27" s="0" t="n">
        <f aca="false">(1-Assumptions!$B$6)*Assumptions!$B$9*F23</f>
        <v>158.0832</v>
      </c>
      <c r="G27" s="0" t="n">
        <f aca="false">(1-Assumptions!$B$6)*Assumptions!$B$9*G23</f>
        <v>181.07712</v>
      </c>
      <c r="H27" s="0" t="n">
        <f aca="false">(1-Assumptions!$B$6)*Assumptions!$B$9*H23</f>
        <v>160.95744</v>
      </c>
      <c r="I27" s="0" t="n">
        <f aca="false">(1-Assumptions!$B$6)*Assumptions!$B$9*I23</f>
        <v>181.07712</v>
      </c>
      <c r="J27" s="0" t="n">
        <f aca="false">(1-Assumptions!$B$6)*Assumptions!$B$9*J23</f>
        <v>241.43616</v>
      </c>
      <c r="K27" s="0" t="n">
        <f aca="false">(1-Assumptions!$B$6)*Assumptions!$B$9*K23</f>
        <v>301.7952</v>
      </c>
      <c r="L27" s="0" t="n">
        <f aca="false">(1-Assumptions!$B$6)*Assumptions!$B$9*L23</f>
        <v>237.1248</v>
      </c>
      <c r="M27" s="0" t="n">
        <f aca="false">(1-Assumptions!$B$6)*Assumptions!$B$9*M23</f>
        <v>273.0528</v>
      </c>
      <c r="N27" s="0" t="n">
        <f aca="false">(1-Assumptions!$B$6)*Assumptions!$B$9*N23</f>
        <v>402.3936</v>
      </c>
      <c r="O27" s="0" t="n">
        <f aca="false">SUM(B27:N27)</f>
        <v>2309.45184</v>
      </c>
    </row>
    <row r="28" customFormat="false" ht="15" hidden="false" customHeight="false" outlineLevel="0" collapsed="false">
      <c r="A28" s="0" t="s">
        <v>109</v>
      </c>
      <c r="C28" s="0" t="n">
        <f aca="false">$B$7*C23</f>
        <v>71.856</v>
      </c>
      <c r="D28" s="0" t="n">
        <f aca="false">$B$7*D23</f>
        <v>237.1248</v>
      </c>
      <c r="E28" s="0" t="n">
        <f aca="false">$B$7*E23</f>
        <v>553.2912</v>
      </c>
      <c r="F28" s="0" t="n">
        <f aca="false">$B$7*F23</f>
        <v>790.416</v>
      </c>
      <c r="G28" s="0" t="n">
        <f aca="false">$B$7*G23</f>
        <v>905.3856</v>
      </c>
      <c r="H28" s="0" t="n">
        <f aca="false">$B$7*H23</f>
        <v>804.7872</v>
      </c>
      <c r="I28" s="0" t="n">
        <f aca="false">$B$7*I23</f>
        <v>905.3856</v>
      </c>
      <c r="J28" s="0" t="n">
        <f aca="false">$B$7*J23</f>
        <v>1207.1808</v>
      </c>
      <c r="K28" s="0" t="n">
        <f aca="false">$B$7*K23</f>
        <v>1508.976</v>
      </c>
      <c r="L28" s="0" t="n">
        <f aca="false">$B$7*L23</f>
        <v>1185.624</v>
      </c>
      <c r="M28" s="0" t="n">
        <f aca="false">$B$7*M23</f>
        <v>1365.264</v>
      </c>
      <c r="N28" s="0" t="n">
        <f aca="false">$B$7*N23</f>
        <v>2011.968</v>
      </c>
      <c r="O28" s="0" t="n">
        <f aca="false">SUM(B28:N28)</f>
        <v>11547.2592</v>
      </c>
    </row>
    <row r="29" customFormat="false" ht="15" hidden="false" customHeight="false" outlineLevel="0" collapsed="false">
      <c r="A29" s="0" t="s">
        <v>110</v>
      </c>
      <c r="C29" s="0" t="n">
        <f aca="false">SUM(C24:C28)</f>
        <v>504.6144</v>
      </c>
      <c r="D29" s="0" t="n">
        <f aca="false">SUM(D24:D28)</f>
        <v>1665.22752</v>
      </c>
      <c r="E29" s="0" t="n">
        <f aca="false">SUM(E24:E28)</f>
        <v>3885.53088</v>
      </c>
      <c r="F29" s="0" t="n">
        <f aca="false">SUM(F24:F28)</f>
        <v>5550.7584</v>
      </c>
      <c r="G29" s="0" t="n">
        <f aca="false">SUM(G24:G28)</f>
        <v>6358.14144</v>
      </c>
      <c r="H29" s="0" t="n">
        <f aca="false">SUM(H24:H28)</f>
        <v>5651.68128</v>
      </c>
      <c r="I29" s="0" t="n">
        <f aca="false">SUM(I24:I28)</f>
        <v>6358.14144</v>
      </c>
      <c r="J29" s="0" t="n">
        <f aca="false">SUM(J24:J28)</f>
        <v>8477.52192</v>
      </c>
      <c r="K29" s="0" t="n">
        <f aca="false">SUM(K24:K28)</f>
        <v>10596.9024</v>
      </c>
      <c r="L29" s="0" t="n">
        <f aca="false">SUM(L24:L28)</f>
        <v>8326.1376</v>
      </c>
      <c r="M29" s="0" t="n">
        <f aca="false">SUM(M24:M28)</f>
        <v>9587.6736</v>
      </c>
      <c r="N29" s="0" t="n">
        <f aca="false">SUM(N24:N28)</f>
        <v>14129.2032</v>
      </c>
      <c r="O29" s="0" t="n">
        <f aca="false">SUM(B29:N29)</f>
        <v>81091.53408</v>
      </c>
    </row>
    <row r="30" customFormat="false" ht="15" hidden="false" customHeight="false" outlineLevel="0" collapsed="false">
      <c r="A30" s="1" t="s">
        <v>111</v>
      </c>
      <c r="C30" s="3" t="n">
        <f aca="false">C23-C29</f>
        <v>1890.5856</v>
      </c>
      <c r="D30" s="3" t="n">
        <f aca="false">D23-D29</f>
        <v>6238.93248</v>
      </c>
      <c r="E30" s="3" t="n">
        <f aca="false">E23-E29</f>
        <v>14557.50912</v>
      </c>
      <c r="F30" s="3" t="n">
        <f aca="false">F23-F29</f>
        <v>20796.4416</v>
      </c>
      <c r="G30" s="3" t="n">
        <f aca="false">G23-G29</f>
        <v>23821.37856</v>
      </c>
      <c r="H30" s="3" t="n">
        <f aca="false">H23-H29</f>
        <v>21174.55872</v>
      </c>
      <c r="I30" s="3" t="n">
        <f aca="false">I23-I29</f>
        <v>23821.37856</v>
      </c>
      <c r="J30" s="3" t="n">
        <f aca="false">J23-J29</f>
        <v>31761.83808</v>
      </c>
      <c r="K30" s="3" t="n">
        <f aca="false">K23-K29</f>
        <v>39702.2976</v>
      </c>
      <c r="L30" s="3" t="n">
        <f aca="false">L23-L29</f>
        <v>31194.6624</v>
      </c>
      <c r="M30" s="3" t="n">
        <f aca="false">M23-M29</f>
        <v>35921.1264</v>
      </c>
      <c r="N30" s="3" t="n">
        <f aca="false">N23-N29</f>
        <v>52936.3968</v>
      </c>
      <c r="O30" s="3" t="n">
        <f aca="false">SUM(B30:N30)</f>
        <v>303817.10592</v>
      </c>
    </row>
    <row r="31" customFormat="false" ht="15" hidden="false" customHeight="false" outlineLevel="0" collapsed="false">
      <c r="A31" s="0" t="s">
        <v>112</v>
      </c>
      <c r="C31" s="0" t="n">
        <f aca="false">IF(C17=0,0,MAX(1,ROUNDUP(C19/C17/Assumptions!$B$10,0)))</f>
        <v>1</v>
      </c>
      <c r="D31" s="0" t="n">
        <f aca="false">IF(D17=0,0,MAX(1,ROUNDUP(D19/D17/Assumptions!$B$10,0)))</f>
        <v>1</v>
      </c>
      <c r="E31" s="0" t="n">
        <f aca="false">IF(E17=0,0,MAX(1,ROUNDUP(E19/E17/Assumptions!$B$10,0)))</f>
        <v>1</v>
      </c>
      <c r="F31" s="0" t="n">
        <f aca="false">IF(F17=0,0,MAX(1,ROUNDUP(F19/F17/Assumptions!$B$10,0)))</f>
        <v>2</v>
      </c>
      <c r="G31" s="0" t="n">
        <f aca="false">IF(G17=0,0,MAX(1,ROUNDUP(G19/G17/Assumptions!$B$10,0)))</f>
        <v>1</v>
      </c>
      <c r="H31" s="0" t="n">
        <f aca="false">IF(H17=0,0,MAX(1,ROUNDUP(H19/H17/Assumptions!$B$10,0)))</f>
        <v>1</v>
      </c>
      <c r="I31" s="0" t="n">
        <f aca="false">IF(I17=0,0,MAX(1,ROUNDUP(I19/I17/Assumptions!$B$10,0)))</f>
        <v>1</v>
      </c>
      <c r="J31" s="0" t="n">
        <f aca="false">IF(J17=0,0,MAX(1,ROUNDUP(J19/J17/Assumptions!$B$10,0)))</f>
        <v>1</v>
      </c>
      <c r="K31" s="0" t="n">
        <f aca="false">IF(K17=0,0,MAX(1,ROUNDUP(K19/K17/Assumptions!$B$10,0)))</f>
        <v>1</v>
      </c>
      <c r="L31" s="0" t="n">
        <f aca="false">IF(L17=0,0,MAX(1,ROUNDUP(L19/L17/Assumptions!$B$10,0)))</f>
        <v>1</v>
      </c>
      <c r="M31" s="0" t="n">
        <f aca="false">IF(M17=0,0,MAX(1,ROUNDUP(M19/M17/Assumptions!$B$10,0)))</f>
        <v>1</v>
      </c>
      <c r="N31" s="0" t="n">
        <f aca="false">IF(N17=0,0,MAX(1,ROUNDUP(N19/N17/Assumptions!$B$10,0)))</f>
        <v>1</v>
      </c>
    </row>
    <row r="32" customFormat="false" ht="15" hidden="false" customHeight="false" outlineLevel="0" collapsed="false">
      <c r="A32" s="0" t="s">
        <v>113</v>
      </c>
      <c r="C32" s="0" t="n">
        <f aca="false">C17*C31*$B$8*Assumptions!$B$19+C20*Assumptions!$B$11</f>
        <v>1320</v>
      </c>
      <c r="D32" s="0" t="n">
        <f aca="false">D17*D31*$B$8*Assumptions!$B$19+D20*Assumptions!$B$11</f>
        <v>2952</v>
      </c>
      <c r="E32" s="0" t="n">
        <f aca="false">E17*E31*$B$8*Assumptions!$B$19+E20*Assumptions!$B$11</f>
        <v>6168</v>
      </c>
      <c r="F32" s="0" t="n">
        <f aca="false">F17*F31*$B$8*Assumptions!$B$19+F20*Assumptions!$B$11</f>
        <v>11280</v>
      </c>
      <c r="G32" s="0" t="n">
        <f aca="false">G17*G31*$B$8*Assumptions!$B$19+G20*Assumptions!$B$11</f>
        <v>9504</v>
      </c>
      <c r="H32" s="0" t="n">
        <f aca="false">H17*H31*$B$8*Assumptions!$B$19+H20*Assumptions!$B$11</f>
        <v>9168</v>
      </c>
      <c r="I32" s="0" t="n">
        <f aca="false">I17*I31*$B$8*Assumptions!$B$19+I20*Assumptions!$B$11</f>
        <v>12744</v>
      </c>
      <c r="J32" s="0" t="n">
        <f aca="false">J17*J31*$B$8*Assumptions!$B$19+J20*Assumptions!$B$11</f>
        <v>13752</v>
      </c>
      <c r="K32" s="0" t="n">
        <f aca="false">K17*K31*$B$8*Assumptions!$B$19+K20*Assumptions!$B$11</f>
        <v>18000</v>
      </c>
      <c r="L32" s="0" t="n">
        <f aca="false">L17*L31*$B$8*Assumptions!$B$19+L20*Assumptions!$B$11</f>
        <v>16920</v>
      </c>
      <c r="M32" s="0" t="n">
        <f aca="false">M17*M31*$B$8*Assumptions!$B$19+M20*Assumptions!$B$11</f>
        <v>19680</v>
      </c>
      <c r="N32" s="0" t="n">
        <f aca="false">N17*N31*$B$8*Assumptions!$B$19+N20*Assumptions!$B$11</f>
        <v>21840</v>
      </c>
      <c r="O32" s="0" t="n">
        <f aca="false">SUM(B32:N32)</f>
        <v>143328</v>
      </c>
    </row>
    <row r="33" customFormat="false" ht="15" hidden="false" customHeight="false" outlineLevel="0" collapsed="false">
      <c r="A33" s="1" t="s">
        <v>114</v>
      </c>
      <c r="C33" s="3" t="n">
        <f aca="false">C30-C32</f>
        <v>570.5856</v>
      </c>
      <c r="D33" s="3" t="n">
        <f aca="false">D30-D32</f>
        <v>3286.93248</v>
      </c>
      <c r="E33" s="3" t="n">
        <f aca="false">E30-E32</f>
        <v>8389.50912</v>
      </c>
      <c r="F33" s="3" t="n">
        <f aca="false">F30-F32</f>
        <v>9516.4416</v>
      </c>
      <c r="G33" s="3" t="n">
        <f aca="false">G30-G32</f>
        <v>14317.37856</v>
      </c>
      <c r="H33" s="3" t="n">
        <f aca="false">H30-H32</f>
        <v>12006.55872</v>
      </c>
      <c r="I33" s="3" t="n">
        <f aca="false">I30-I32</f>
        <v>11077.37856</v>
      </c>
      <c r="J33" s="3" t="n">
        <f aca="false">J30-J32</f>
        <v>18009.83808</v>
      </c>
      <c r="K33" s="3" t="n">
        <f aca="false">K30-K32</f>
        <v>21702.2976</v>
      </c>
      <c r="L33" s="3" t="n">
        <f aca="false">L30-L32</f>
        <v>14274.6624</v>
      </c>
      <c r="M33" s="3" t="n">
        <f aca="false">M30-M32</f>
        <v>16241.1264</v>
      </c>
      <c r="N33" s="3" t="n">
        <f aca="false">N30-N32</f>
        <v>31096.3968</v>
      </c>
      <c r="O33" s="3" t="n">
        <f aca="false">SUM(B33:N33)</f>
        <v>160489.10592</v>
      </c>
    </row>
    <row r="34" customFormat="false" ht="15" hidden="false" customHeight="false" outlineLevel="0" collapsed="false">
      <c r="A34" s="0" t="s">
        <v>115</v>
      </c>
      <c r="C34" s="0" t="n">
        <f aca="false">Assumptions!$B$13</f>
        <v>130</v>
      </c>
      <c r="D34" s="0" t="n">
        <f aca="false">Assumptions!$B$13</f>
        <v>130</v>
      </c>
      <c r="E34" s="0" t="n">
        <f aca="false">Assumptions!$B$13</f>
        <v>130</v>
      </c>
      <c r="F34" s="0" t="n">
        <f aca="false">Assumptions!$B$13</f>
        <v>130</v>
      </c>
      <c r="G34" s="0" t="n">
        <f aca="false">Assumptions!$B$13</f>
        <v>130</v>
      </c>
      <c r="H34" s="0" t="n">
        <f aca="false">Assumptions!$B$13</f>
        <v>130</v>
      </c>
      <c r="I34" s="0" t="n">
        <f aca="false">Assumptions!$B$13</f>
        <v>130</v>
      </c>
      <c r="J34" s="0" t="n">
        <f aca="false">Assumptions!$B$13</f>
        <v>130</v>
      </c>
      <c r="K34" s="0" t="n">
        <f aca="false">Assumptions!$B$13</f>
        <v>130</v>
      </c>
      <c r="L34" s="0" t="n">
        <f aca="false">Assumptions!$B$13</f>
        <v>130</v>
      </c>
      <c r="M34" s="0" t="n">
        <f aca="false">Assumptions!$B$13</f>
        <v>130</v>
      </c>
      <c r="N34" s="0" t="n">
        <f aca="false">Assumptions!$B$13</f>
        <v>130</v>
      </c>
      <c r="O34" s="0" t="n">
        <f aca="false">SUM(B34:N34)</f>
        <v>1560</v>
      </c>
    </row>
    <row r="35" customFormat="false" ht="15" hidden="false" customHeight="false" outlineLevel="0" collapsed="false">
      <c r="A35" s="0" t="s">
        <v>116</v>
      </c>
      <c r="C35" s="0" t="n">
        <f aca="false">Assumptions!$B$14+Assumptions!$B$15</f>
        <v>180</v>
      </c>
      <c r="D35" s="0" t="n">
        <f aca="false">Assumptions!$B$14+Assumptions!$B$15</f>
        <v>180</v>
      </c>
      <c r="E35" s="0" t="n">
        <f aca="false">Assumptions!$B$14+Assumptions!$B$15</f>
        <v>180</v>
      </c>
      <c r="F35" s="0" t="n">
        <f aca="false">Assumptions!$B$14+Assumptions!$B$15</f>
        <v>180</v>
      </c>
      <c r="G35" s="0" t="n">
        <f aca="false">Assumptions!$B$14+Assumptions!$B$15</f>
        <v>180</v>
      </c>
      <c r="H35" s="0" t="n">
        <f aca="false">Assumptions!$B$14+Assumptions!$B$15</f>
        <v>180</v>
      </c>
      <c r="I35" s="0" t="n">
        <f aca="false">Assumptions!$B$14+Assumptions!$B$15</f>
        <v>180</v>
      </c>
      <c r="J35" s="0" t="n">
        <f aca="false">Assumptions!$B$14+Assumptions!$B$15</f>
        <v>180</v>
      </c>
      <c r="K35" s="0" t="n">
        <f aca="false">Assumptions!$B$14+Assumptions!$B$15</f>
        <v>180</v>
      </c>
      <c r="L35" s="0" t="n">
        <f aca="false">Assumptions!$B$14+Assumptions!$B$15</f>
        <v>180</v>
      </c>
      <c r="M35" s="0" t="n">
        <f aca="false">Assumptions!$B$14+Assumptions!$B$15</f>
        <v>180</v>
      </c>
      <c r="N35" s="0" t="n">
        <f aca="false">Assumptions!$B$14+Assumptions!$B$15</f>
        <v>180</v>
      </c>
      <c r="O35" s="0" t="n">
        <f aca="false">SUM(B35:N35)</f>
        <v>2160</v>
      </c>
    </row>
    <row r="36" customFormat="false" ht="15" hidden="false" customHeight="false" outlineLevel="0" collapsed="false">
      <c r="A36" s="0" t="s">
        <v>117</v>
      </c>
      <c r="C36" s="0" t="n">
        <f aca="false">C17*Assumptions!$B$16</f>
        <v>25</v>
      </c>
      <c r="D36" s="0" t="n">
        <f aca="false">D17*Assumptions!$B$16</f>
        <v>50</v>
      </c>
      <c r="E36" s="0" t="n">
        <f aca="false">E17*Assumptions!$B$16</f>
        <v>100</v>
      </c>
      <c r="F36" s="0" t="n">
        <f aca="false">F17*Assumptions!$B$16</f>
        <v>100</v>
      </c>
      <c r="G36" s="0" t="n">
        <f aca="false">G17*Assumptions!$B$16</f>
        <v>150</v>
      </c>
      <c r="H36" s="0" t="n">
        <f aca="false">H17*Assumptions!$B$16</f>
        <v>150</v>
      </c>
      <c r="I36" s="0" t="n">
        <f aca="false">I17*Assumptions!$B$16</f>
        <v>225</v>
      </c>
      <c r="J36" s="0" t="n">
        <f aca="false">J17*Assumptions!$B$16</f>
        <v>225</v>
      </c>
      <c r="K36" s="0" t="n">
        <f aca="false">K17*Assumptions!$B$16</f>
        <v>300</v>
      </c>
      <c r="L36" s="0" t="n">
        <f aca="false">L17*Assumptions!$B$16</f>
        <v>300</v>
      </c>
      <c r="M36" s="0" t="n">
        <f aca="false">M17*Assumptions!$B$16</f>
        <v>350</v>
      </c>
      <c r="N36" s="0" t="n">
        <f aca="false">N17*Assumptions!$B$16</f>
        <v>350</v>
      </c>
      <c r="O36" s="0" t="n">
        <f aca="false">SUM(B36:N36)</f>
        <v>2325</v>
      </c>
    </row>
    <row r="37" customFormat="false" ht="15" hidden="false" customHeight="false" outlineLevel="0" collapsed="false">
      <c r="A37" s="0" t="s">
        <v>118</v>
      </c>
      <c r="C37" s="0" t="n">
        <f aca="false">IF(C13&gt;=2,ROUNDUP(C17/3,0)*Assumptions!$B$12,0)</f>
        <v>0</v>
      </c>
      <c r="D37" s="0" t="n">
        <f aca="false">IF(D13&gt;=2,ROUNDUP(D17/3,0)*Assumptions!$B$12,0)</f>
        <v>650</v>
      </c>
      <c r="E37" s="0" t="n">
        <f aca="false">IF(E13&gt;=2,ROUNDUP(E17/3,0)*Assumptions!$B$12,0)</f>
        <v>1300</v>
      </c>
      <c r="F37" s="0" t="n">
        <f aca="false">IF(F13&gt;=2,ROUNDUP(F17/3,0)*Assumptions!$B$12,0)</f>
        <v>1300</v>
      </c>
      <c r="G37" s="0" t="n">
        <f aca="false">IF(G13&gt;=2,ROUNDUP(G17/3,0)*Assumptions!$B$12,0)</f>
        <v>1300</v>
      </c>
      <c r="H37" s="0" t="n">
        <f aca="false">IF(H13&gt;=2,ROUNDUP(H17/3,0)*Assumptions!$B$12,0)</f>
        <v>1300</v>
      </c>
      <c r="I37" s="0" t="n">
        <f aca="false">IF(I13&gt;=2,ROUNDUP(I17/3,0)*Assumptions!$B$12,0)</f>
        <v>1950</v>
      </c>
      <c r="J37" s="0" t="n">
        <f aca="false">IF(J13&gt;=2,ROUNDUP(J17/3,0)*Assumptions!$B$12,0)</f>
        <v>1950</v>
      </c>
      <c r="K37" s="0" t="n">
        <f aca="false">IF(K13&gt;=2,ROUNDUP(K17/3,0)*Assumptions!$B$12,0)</f>
        <v>2600</v>
      </c>
      <c r="L37" s="0" t="n">
        <f aca="false">IF(L13&gt;=2,ROUNDUP(L17/3,0)*Assumptions!$B$12,0)</f>
        <v>2600</v>
      </c>
      <c r="M37" s="0" t="n">
        <f aca="false">IF(M13&gt;=2,ROUNDUP(M17/3,0)*Assumptions!$B$12,0)</f>
        <v>3250</v>
      </c>
      <c r="N37" s="0" t="n">
        <f aca="false">IF(N13&gt;=2,ROUNDUP(N17/3,0)*Assumptions!$B$12,0)</f>
        <v>3250</v>
      </c>
      <c r="O37" s="0" t="n">
        <f aca="false">SUM(B37:N37)</f>
        <v>21450</v>
      </c>
    </row>
    <row r="38" customFormat="false" ht="15" hidden="false" customHeight="false" outlineLevel="0" collapsed="false">
      <c r="A38" s="0" t="s">
        <v>119</v>
      </c>
      <c r="C38" s="0" t="n">
        <f aca="false">$B$9</f>
        <v>1500</v>
      </c>
      <c r="D38" s="0" t="n">
        <f aca="false">$B$9</f>
        <v>1500</v>
      </c>
      <c r="E38" s="0" t="n">
        <f aca="false">$B$9</f>
        <v>1500</v>
      </c>
      <c r="F38" s="0" t="n">
        <f aca="false">$B$9</f>
        <v>1500</v>
      </c>
      <c r="G38" s="0" t="n">
        <f aca="false">$B$9</f>
        <v>1500</v>
      </c>
      <c r="H38" s="0" t="n">
        <f aca="false">$B$9</f>
        <v>1500</v>
      </c>
      <c r="I38" s="0" t="n">
        <f aca="false">$B$9</f>
        <v>1500</v>
      </c>
      <c r="J38" s="0" t="n">
        <f aca="false">$B$9</f>
        <v>1500</v>
      </c>
      <c r="K38" s="0" t="n">
        <f aca="false">$B$9</f>
        <v>1500</v>
      </c>
      <c r="L38" s="0" t="n">
        <f aca="false">$B$9</f>
        <v>1500</v>
      </c>
      <c r="M38" s="0" t="n">
        <f aca="false">$B$9</f>
        <v>1500</v>
      </c>
      <c r="N38" s="0" t="n">
        <f aca="false">$B$9</f>
        <v>1500</v>
      </c>
      <c r="O38" s="0" t="n">
        <f aca="false">SUM(B38:N38)</f>
        <v>18000</v>
      </c>
    </row>
    <row r="39" customFormat="false" ht="15" hidden="false" customHeight="false" outlineLevel="0" collapsed="false">
      <c r="A39" s="0" t="s">
        <v>120</v>
      </c>
      <c r="C39" s="0" t="n">
        <f aca="false">SUM(C34:C38)</f>
        <v>1835</v>
      </c>
      <c r="D39" s="0" t="n">
        <f aca="false">SUM(D34:D38)</f>
        <v>2510</v>
      </c>
      <c r="E39" s="0" t="n">
        <f aca="false">SUM(E34:E38)</f>
        <v>3210</v>
      </c>
      <c r="F39" s="0" t="n">
        <f aca="false">SUM(F34:F38)</f>
        <v>3210</v>
      </c>
      <c r="G39" s="0" t="n">
        <f aca="false">SUM(G34:G38)</f>
        <v>3260</v>
      </c>
      <c r="H39" s="0" t="n">
        <f aca="false">SUM(H34:H38)</f>
        <v>3260</v>
      </c>
      <c r="I39" s="0" t="n">
        <f aca="false">SUM(I34:I38)</f>
        <v>3985</v>
      </c>
      <c r="J39" s="0" t="n">
        <f aca="false">SUM(J34:J38)</f>
        <v>3985</v>
      </c>
      <c r="K39" s="0" t="n">
        <f aca="false">SUM(K34:K38)</f>
        <v>4710</v>
      </c>
      <c r="L39" s="0" t="n">
        <f aca="false">SUM(L34:L38)</f>
        <v>4710</v>
      </c>
      <c r="M39" s="0" t="n">
        <f aca="false">SUM(M34:M38)</f>
        <v>5410</v>
      </c>
      <c r="N39" s="0" t="n">
        <f aca="false">SUM(N34:N38)</f>
        <v>5410</v>
      </c>
      <c r="O39" s="0" t="n">
        <f aca="false">SUM(B39:N39)</f>
        <v>45495</v>
      </c>
    </row>
    <row r="40" customFormat="false" ht="15" hidden="false" customHeight="false" outlineLevel="0" collapsed="false">
      <c r="A40" s="1" t="s">
        <v>121</v>
      </c>
      <c r="C40" s="3" t="n">
        <f aca="false">C33-C39</f>
        <v>-1264.4144</v>
      </c>
      <c r="D40" s="3" t="n">
        <f aca="false">D33-D39</f>
        <v>776.932480000001</v>
      </c>
      <c r="E40" s="3" t="n">
        <f aca="false">E33-E39</f>
        <v>5179.50912</v>
      </c>
      <c r="F40" s="3" t="n">
        <f aca="false">F33-F39</f>
        <v>6306.4416</v>
      </c>
      <c r="G40" s="3" t="n">
        <f aca="false">G33-G39</f>
        <v>11057.37856</v>
      </c>
      <c r="H40" s="3" t="n">
        <f aca="false">H33-H39</f>
        <v>8746.55872</v>
      </c>
      <c r="I40" s="3" t="n">
        <f aca="false">I33-I39</f>
        <v>7092.37856</v>
      </c>
      <c r="J40" s="3" t="n">
        <f aca="false">J33-J39</f>
        <v>14024.83808</v>
      </c>
      <c r="K40" s="3" t="n">
        <f aca="false">K33-K39</f>
        <v>16992.2976</v>
      </c>
      <c r="L40" s="3" t="n">
        <f aca="false">L33-L39</f>
        <v>9564.6624</v>
      </c>
      <c r="M40" s="3" t="n">
        <f aca="false">M33-M39</f>
        <v>10831.1264</v>
      </c>
      <c r="N40" s="3" t="n">
        <f aca="false">N33-N39</f>
        <v>25686.3968</v>
      </c>
      <c r="O40" s="3" t="n">
        <f aca="false">SUM(B40:N40)</f>
        <v>114994.10592</v>
      </c>
    </row>
    <row r="41" customFormat="false" ht="15" hidden="false" customHeight="false" outlineLevel="0" collapsed="false">
      <c r="A41" s="0" t="s">
        <v>122</v>
      </c>
      <c r="B41" s="0" t="n">
        <f aca="false">Assumptions!$B$35</f>
        <v>9821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f aca="false">SUM(B41:N41)</f>
        <v>9821</v>
      </c>
    </row>
    <row r="42" customFormat="false" ht="15" hidden="false" customHeight="false" outlineLevel="0" collapsed="false">
      <c r="A42" s="0" t="s">
        <v>123</v>
      </c>
      <c r="C42" s="0" t="n">
        <f aca="false">C16*Assumptions!$B$17</f>
        <v>1700</v>
      </c>
      <c r="D42" s="0" t="n">
        <f aca="false">D16*Assumptions!$B$17</f>
        <v>1700</v>
      </c>
      <c r="E42" s="0" t="n">
        <f aca="false">E16*Assumptions!$B$17</f>
        <v>3400</v>
      </c>
      <c r="F42" s="0" t="n">
        <f aca="false">F16*Assumptions!$B$17</f>
        <v>0</v>
      </c>
      <c r="G42" s="0" t="n">
        <f aca="false">G16*Assumptions!$B$17</f>
        <v>3400</v>
      </c>
      <c r="H42" s="0" t="n">
        <f aca="false">H16*Assumptions!$B$17</f>
        <v>0</v>
      </c>
      <c r="I42" s="0" t="n">
        <f aca="false">I16*Assumptions!$B$17</f>
        <v>5100</v>
      </c>
      <c r="J42" s="0" t="n">
        <f aca="false">J16*Assumptions!$B$17</f>
        <v>0</v>
      </c>
      <c r="K42" s="0" t="n">
        <f aca="false">K16*Assumptions!$B$17</f>
        <v>5100</v>
      </c>
      <c r="L42" s="0" t="n">
        <f aca="false">L16*Assumptions!$B$17</f>
        <v>0</v>
      </c>
      <c r="M42" s="0" t="n">
        <f aca="false">M16*Assumptions!$B$17</f>
        <v>3400</v>
      </c>
      <c r="N42" s="0" t="n">
        <f aca="false">N16*Assumptions!$B$17</f>
        <v>0</v>
      </c>
      <c r="O42" s="0" t="n">
        <f aca="false">SUM(B42:N42)</f>
        <v>23800</v>
      </c>
    </row>
    <row r="43" customFormat="false" ht="15" hidden="false" customHeight="false" outlineLevel="0" collapsed="false">
      <c r="A43" s="1" t="s">
        <v>124</v>
      </c>
      <c r="B43" s="3" t="n">
        <f aca="false">-B41</f>
        <v>-9821</v>
      </c>
      <c r="C43" s="3" t="n">
        <f aca="false">C40-C41-C42</f>
        <v>-2964.4144</v>
      </c>
      <c r="D43" s="3" t="n">
        <f aca="false">D40-D41-D42</f>
        <v>-923.067519999999</v>
      </c>
      <c r="E43" s="3" t="n">
        <f aca="false">E40-E41-E42</f>
        <v>1779.50912</v>
      </c>
      <c r="F43" s="3" t="n">
        <f aca="false">F40-F41-F42</f>
        <v>6306.4416</v>
      </c>
      <c r="G43" s="3" t="n">
        <f aca="false">G40-G41-G42</f>
        <v>7657.37856</v>
      </c>
      <c r="H43" s="3" t="n">
        <f aca="false">H40-H41-H42</f>
        <v>8746.55872</v>
      </c>
      <c r="I43" s="3" t="n">
        <f aca="false">I40-I41-I42</f>
        <v>1992.37856</v>
      </c>
      <c r="J43" s="3" t="n">
        <f aca="false">J40-J41-J42</f>
        <v>14024.83808</v>
      </c>
      <c r="K43" s="3" t="n">
        <f aca="false">K40-K41-K42</f>
        <v>11892.2976</v>
      </c>
      <c r="L43" s="3" t="n">
        <f aca="false">L40-L41-L42</f>
        <v>9564.6624</v>
      </c>
      <c r="M43" s="3" t="n">
        <f aca="false">M40-M41-M42</f>
        <v>7431.12639999999</v>
      </c>
      <c r="N43" s="3" t="n">
        <f aca="false">N40-N41-N42</f>
        <v>25686.3968</v>
      </c>
      <c r="O43" s="3" t="n">
        <f aca="false">SUM(B43:N43)</f>
        <v>81373.10592</v>
      </c>
    </row>
    <row r="44" customFormat="false" ht="15" hidden="false" customHeight="false" outlineLevel="0" collapsed="false">
      <c r="A44" s="1" t="s">
        <v>125</v>
      </c>
      <c r="B44" s="3" t="n">
        <f aca="false">-B41</f>
        <v>-9821</v>
      </c>
      <c r="C44" s="3" t="n">
        <f aca="false">B44+C43</f>
        <v>-12785.4144</v>
      </c>
      <c r="D44" s="3" t="n">
        <f aca="false">C44+D43</f>
        <v>-13708.48192</v>
      </c>
      <c r="E44" s="3" t="n">
        <f aca="false">D44+E43</f>
        <v>-11928.9728</v>
      </c>
      <c r="F44" s="3" t="n">
        <f aca="false">E44+F43</f>
        <v>-5622.5312</v>
      </c>
      <c r="G44" s="3" t="n">
        <f aca="false">F44+G43</f>
        <v>2034.84736</v>
      </c>
      <c r="H44" s="3" t="n">
        <f aca="false">G44+H43</f>
        <v>10781.40608</v>
      </c>
      <c r="I44" s="3" t="n">
        <f aca="false">H44+I43</f>
        <v>12773.78464</v>
      </c>
      <c r="J44" s="3" t="n">
        <f aca="false">I44+J43</f>
        <v>26798.62272</v>
      </c>
      <c r="K44" s="3" t="n">
        <f aca="false">J44+K43</f>
        <v>38690.92032</v>
      </c>
      <c r="L44" s="3" t="n">
        <f aca="false">K44+L43</f>
        <v>48255.58272</v>
      </c>
      <c r="M44" s="3" t="n">
        <f aca="false">L44+M43</f>
        <v>55686.70912</v>
      </c>
      <c r="N44" s="3" t="n">
        <f aca="false">M44+N43</f>
        <v>81373.10592</v>
      </c>
    </row>
    <row r="47" customFormat="false" ht="15" hidden="false" customHeight="false" outlineLevel="0" collapsed="false">
      <c r="A47" s="0" t="s">
        <v>126</v>
      </c>
      <c r="C47" s="0" t="n">
        <f aca="false">IF(C23=0,0,C33/C23)</f>
        <v>0.238220440881764</v>
      </c>
      <c r="D47" s="0" t="n">
        <f aca="false">IF(D23=0,0,D33/D23)</f>
        <v>0.415848424120969</v>
      </c>
      <c r="E47" s="0" t="n">
        <f aca="false">IF(E23=0,0,E33/E23)</f>
        <v>0.454887541316399</v>
      </c>
      <c r="F47" s="0" t="n">
        <f aca="false">IF(F23=0,0,F33/F23)</f>
        <v>0.361193660047368</v>
      </c>
      <c r="G47" s="0" t="n">
        <f aca="false">IF(G23=0,0,G33/G23)</f>
        <v>0.474407099914114</v>
      </c>
      <c r="H47" s="0" t="n">
        <f aca="false">IF(H23=0,0,H33/H23)</f>
        <v>0.447567706842256</v>
      </c>
      <c r="I47" s="0" t="n">
        <f aca="false">IF(I23=0,0,I33/I23)</f>
        <v>0.367049527626682</v>
      </c>
      <c r="J47" s="0" t="n">
        <f aca="false">IF(J23=0,0,J33/J23)</f>
        <v>0.447567706842256</v>
      </c>
      <c r="K47" s="0" t="n">
        <f aca="false">IF(K23=0,0,K33/K23)</f>
        <v>0.431464070999141</v>
      </c>
      <c r="L47" s="0" t="n">
        <f aca="false">IF(L23=0,0,L33/L23)</f>
        <v>0.361193660047367</v>
      </c>
      <c r="M47" s="0" t="n">
        <f aca="false">IF(M23=0,0,M33/M23)</f>
        <v>0.356878810252083</v>
      </c>
      <c r="N47" s="0" t="n">
        <f aca="false">IF(N23=0,0,N33/N23)</f>
        <v>0.463671342685371</v>
      </c>
    </row>
    <row r="48" customFormat="false" ht="15" hidden="false" customHeight="false" outlineLevel="0" collapsed="false">
      <c r="A48" s="0" t="s">
        <v>127</v>
      </c>
      <c r="C48" s="0" t="n">
        <f aca="false">C23*Assumptions!$B$3</f>
        <v>378441.6</v>
      </c>
      <c r="D48" s="0" t="n">
        <f aca="false">D23*Assumptions!$B$3</f>
        <v>1248857.28</v>
      </c>
      <c r="E48" s="0" t="n">
        <f aca="false">E23*Assumptions!$B$3</f>
        <v>2914000.32</v>
      </c>
      <c r="F48" s="0" t="n">
        <f aca="false">F23*Assumptions!$B$3</f>
        <v>4162857.6</v>
      </c>
      <c r="G48" s="0" t="n">
        <f aca="false">G23*Assumptions!$B$3</f>
        <v>4768364.16</v>
      </c>
      <c r="H48" s="0" t="n">
        <f aca="false">H23*Assumptions!$B$3</f>
        <v>4238545.92</v>
      </c>
      <c r="I48" s="0" t="n">
        <f aca="false">I23*Assumptions!$B$3</f>
        <v>4768364.16</v>
      </c>
      <c r="J48" s="0" t="n">
        <f aca="false">J23*Assumptions!$B$3</f>
        <v>6357818.88</v>
      </c>
      <c r="K48" s="0" t="n">
        <f aca="false">K23*Assumptions!$B$3</f>
        <v>7947273.6</v>
      </c>
      <c r="L48" s="0" t="n">
        <f aca="false">L23*Assumptions!$B$3</f>
        <v>6244286.4</v>
      </c>
      <c r="M48" s="0" t="n">
        <f aca="false">M23*Assumptions!$B$3</f>
        <v>7190390.4</v>
      </c>
      <c r="N48" s="0" t="n">
        <f aca="false">N23*Assumptions!$B$3</f>
        <v>10596364.8</v>
      </c>
      <c r="O48" s="0" t="n">
        <f aca="false">SUM(B48:N48)</f>
        <v>60815565.12</v>
      </c>
    </row>
    <row r="49" customFormat="false" ht="15" hidden="false" customHeight="false" outlineLevel="0" collapsed="false">
      <c r="A49" s="0" t="s">
        <v>128</v>
      </c>
      <c r="C49" s="0" t="n">
        <f aca="false">C40*Assumptions!$B$3</f>
        <v>-199777.4752</v>
      </c>
      <c r="D49" s="0" t="n">
        <f aca="false">D40*Assumptions!$B$3</f>
        <v>122755.33184</v>
      </c>
      <c r="E49" s="0" t="n">
        <f aca="false">E40*Assumptions!$B$3</f>
        <v>818362.44096</v>
      </c>
      <c r="F49" s="0" t="n">
        <f aca="false">F40*Assumptions!$B$3</f>
        <v>996417.7728</v>
      </c>
      <c r="G49" s="0" t="n">
        <f aca="false">G40*Assumptions!$B$3</f>
        <v>1747065.81248</v>
      </c>
      <c r="H49" s="0" t="n">
        <f aca="false">H40*Assumptions!$B$3</f>
        <v>1381956.27776</v>
      </c>
      <c r="I49" s="0" t="n">
        <f aca="false">I40*Assumptions!$B$3</f>
        <v>1120595.81248</v>
      </c>
      <c r="J49" s="0" t="n">
        <f aca="false">J40*Assumptions!$B$3</f>
        <v>2215924.41664</v>
      </c>
      <c r="K49" s="0" t="n">
        <f aca="false">K40*Assumptions!$B$3</f>
        <v>2684783.0208</v>
      </c>
      <c r="L49" s="0" t="n">
        <f aca="false">L40*Assumptions!$B$3</f>
        <v>1511216.6592</v>
      </c>
      <c r="M49" s="0" t="n">
        <f aca="false">M40*Assumptions!$B$3</f>
        <v>1711317.9712</v>
      </c>
      <c r="N49" s="0" t="n">
        <f aca="false">N40*Assumptions!$B$3</f>
        <v>4058450.6944</v>
      </c>
      <c r="O49" s="0" t="n">
        <f aca="false">SUM(B49:N49)</f>
        <v>18169068.73536</v>
      </c>
    </row>
    <row r="51" customFormat="false" ht="15" hidden="false" customHeight="false" outlineLevel="0" collapsed="false">
      <c r="A51" s="0" t="s">
        <v>129</v>
      </c>
      <c r="B51" s="0" t="n">
        <f aca="false">-MIN(B44:N44)</f>
        <v>13708.48192</v>
      </c>
    </row>
    <row r="52" customFormat="false" ht="15" hidden="false" customHeight="false" outlineLevel="0" collapsed="false">
      <c r="A52" s="0" t="s">
        <v>130</v>
      </c>
      <c r="B52" s="0" t="n">
        <f aca="false">B51*Assumptions!$B$3</f>
        <v>2165940.14336</v>
      </c>
    </row>
    <row r="53" customFormat="false" ht="15" hidden="false" customHeight="false" outlineLevel="0" collapsed="false">
      <c r="A53" s="0" t="s">
        <v>131</v>
      </c>
      <c r="B53" s="0" t="str">
        <f aca="false">IFERROR(INDEX(C14:N14,MATCH(TRUE(),INDEX(C40:N40&gt;0,0),0)),"none in 12 months")</f>
        <v>Jan-27</v>
      </c>
    </row>
    <row r="54" customFormat="false" ht="15" hidden="false" customHeight="false" outlineLevel="0" collapsed="false">
      <c r="A54" s="0" t="s">
        <v>132</v>
      </c>
      <c r="B54" s="0" t="n">
        <f aca="false">N40</f>
        <v>25686.3968</v>
      </c>
    </row>
    <row r="55" customFormat="false" ht="15" hidden="false" customHeight="false" outlineLevel="0" collapsed="false">
      <c r="A55" s="0" t="s">
        <v>133</v>
      </c>
      <c r="B55" s="0" t="n">
        <f aca="false">N33/N20</f>
        <v>4.62744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1" t="s">
        <v>136</v>
      </c>
    </row>
    <row r="3" customFormat="false" ht="15" hidden="false" customHeight="false" outlineLevel="0" collapsed="false">
      <c r="A3" s="0" t="s">
        <v>137</v>
      </c>
      <c r="B3" s="0" t="n">
        <f aca="false">Base!B4*(1-Base!B5)+Base!B10</f>
        <v>9.52</v>
      </c>
    </row>
    <row r="4" customFormat="false" ht="15" hidden="false" customHeight="false" outlineLevel="0" collapsed="false">
      <c r="A4" s="0" t="s">
        <v>138</v>
      </c>
      <c r="B4" s="0" t="n">
        <f aca="false">Assumptions!$B$4*Base!B6</f>
        <v>1.02</v>
      </c>
    </row>
    <row r="5" customFormat="false" ht="15" hidden="false" customHeight="false" outlineLevel="0" collapsed="false">
      <c r="A5" s="0" t="s">
        <v>106</v>
      </c>
      <c r="B5" s="0" t="n">
        <f aca="false">Assumptions!$B$5</f>
        <v>0.25</v>
      </c>
    </row>
    <row r="6" customFormat="false" ht="15" hidden="false" customHeight="false" outlineLevel="0" collapsed="false">
      <c r="A6" s="0" t="s">
        <v>107</v>
      </c>
      <c r="B6" s="0" t="n">
        <f aca="false">Assumptions!$B$6*(Assumptions!$B$7*B3+Assumptions!$B$8)</f>
        <v>0.63672</v>
      </c>
    </row>
    <row r="7" customFormat="false" ht="15" hidden="false" customHeight="false" outlineLevel="0" collapsed="false">
      <c r="A7" s="0" t="s">
        <v>108</v>
      </c>
      <c r="B7" s="0" t="n">
        <f aca="false">(1-Assumptions!$B$6)*Assumptions!$B$9*B3</f>
        <v>0.05712</v>
      </c>
    </row>
    <row r="8" customFormat="false" ht="15" hidden="false" customHeight="false" outlineLevel="0" collapsed="false">
      <c r="A8" s="0" t="s">
        <v>109</v>
      </c>
      <c r="B8" s="0" t="n">
        <f aca="false">Base!B7*B3</f>
        <v>0.2856</v>
      </c>
    </row>
    <row r="9" customFormat="false" ht="15" hidden="false" customHeight="false" outlineLevel="0" collapsed="false">
      <c r="A9" s="0" t="s">
        <v>139</v>
      </c>
      <c r="B9" s="0" t="n">
        <f aca="false">Assumptions!$B$11</f>
        <v>1</v>
      </c>
    </row>
    <row r="10" customFormat="false" ht="15" hidden="false" customHeight="false" outlineLevel="0" collapsed="false">
      <c r="A10" s="0" t="s">
        <v>140</v>
      </c>
      <c r="B10" s="0" t="n">
        <f aca="false">B3-SUM(B4:B9)</f>
        <v>6.27056</v>
      </c>
    </row>
    <row r="11" customFormat="false" ht="15" hidden="false" customHeight="false" outlineLevel="0" collapsed="false">
      <c r="A11" s="0" t="s">
        <v>141</v>
      </c>
      <c r="B11" s="0" t="n">
        <f aca="false">B10/B3</f>
        <v>0.658672268907563</v>
      </c>
    </row>
    <row r="12" customFormat="false" ht="15" hidden="false" customHeight="false" outlineLevel="0" collapsed="false">
      <c r="A12" s="0" t="s">
        <v>142</v>
      </c>
      <c r="B12" s="0" t="n">
        <f aca="false">Base!B8*Assumptions!$B$19+Assumptions!$B$16+Assumptions!$B$12/3</f>
        <v>1321.66666666667</v>
      </c>
    </row>
    <row r="13" customFormat="false" ht="15" hidden="false" customHeight="false" outlineLevel="0" collapsed="false">
      <c r="A13" s="0" t="s">
        <v>143</v>
      </c>
      <c r="B13" s="0" t="n">
        <f aca="false">Assumptions!$B$13+Assumptions!$B$14+Assumptions!$B$15+Base!B9</f>
        <v>1110</v>
      </c>
    </row>
    <row r="14" customFormat="false" ht="15" hidden="false" customHeight="false" outlineLevel="0" collapsed="false">
      <c r="A14" s="0" t="s">
        <v>144</v>
      </c>
      <c r="B14" s="0" t="n">
        <f aca="false">Assumptions!$B$17/12</f>
        <v>141.666666666667</v>
      </c>
    </row>
    <row r="15" customFormat="false" ht="15" hidden="false" customHeight="false" outlineLevel="0" collapsed="false">
      <c r="A15" s="0" t="s">
        <v>145</v>
      </c>
      <c r="B15" s="0" t="n">
        <f aca="false">B12/(B10*Assumptions!$B$19)</f>
        <v>7.02577689322095</v>
      </c>
    </row>
    <row r="16" customFormat="false" ht="15" hidden="false" customHeight="false" outlineLevel="0" collapsed="false">
      <c r="A16" s="0" t="s">
        <v>146</v>
      </c>
      <c r="B16" s="0" t="n">
        <f aca="false">(B12+B13+B14)/(B10*Assumptions!$B$19)</f>
        <v>13.6794445436736</v>
      </c>
    </row>
    <row r="17" customFormat="false" ht="15" hidden="false" customHeight="false" outlineLevel="0" collapsed="false">
      <c r="A17" s="0" t="s">
        <v>147</v>
      </c>
      <c r="B17" s="0" t="n">
        <f aca="false">(B12+B13/4+B14)/(B10*Assumptions!$B$19)</f>
        <v>9.25400247789317</v>
      </c>
    </row>
    <row r="18" customFormat="false" ht="15" hidden="false" customHeight="false" outlineLevel="0" collapsed="false">
      <c r="A18" s="0" t="s">
        <v>148</v>
      </c>
      <c r="B18" s="0" t="n">
        <f aca="false">B10-Base!B8/Base!B2</f>
        <v>4.02056</v>
      </c>
    </row>
    <row r="19" customFormat="false" ht="15" hidden="false" customHeight="false" outlineLevel="0" collapsed="false">
      <c r="A19" s="0" t="s">
        <v>149</v>
      </c>
      <c r="B19" s="0" t="n">
        <f aca="false">B3*Assumptions!$B$3</f>
        <v>1504.16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2026-10-09T20:25:12Z</dcterms:created>
  <dc:creator>openpyxl</dc:creator>
  <dc:description/>
  <dc:language>en-US</dc:language>
  <cp:lastModifiedBy/>
  <dcterms:modified xsi:type="dcterms:W3CDTF">2026-10-09T20:25:12Z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